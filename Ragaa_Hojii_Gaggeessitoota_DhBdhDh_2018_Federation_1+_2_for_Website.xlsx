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F8C34184-910D-4827-9BAF-8A0BF004F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rof. Hojii Gag. bara 2018(1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</calcChain>
</file>

<file path=xl/sharedStrings.xml><?xml version="1.0" encoding="utf-8"?>
<sst xmlns="http://schemas.openxmlformats.org/spreadsheetml/2006/main" count="517" uniqueCount="402">
  <si>
    <t>lakk</t>
  </si>
  <si>
    <t>Saala</t>
  </si>
  <si>
    <t>Gosa Barnoota</t>
  </si>
  <si>
    <t>Sad. Barnoota</t>
  </si>
  <si>
    <t>Sad. Dhabbaata</t>
  </si>
  <si>
    <t>Lakk Bilbiila</t>
  </si>
  <si>
    <t>Email Address</t>
  </si>
  <si>
    <r>
      <t>2</t>
    </r>
    <r>
      <rPr>
        <b/>
        <i/>
        <vertAlign val="superscript"/>
        <sz val="12"/>
        <color theme="1"/>
        <rFont val="Times New Roman"/>
        <family val="1"/>
      </rPr>
      <t>ffaa</t>
    </r>
  </si>
  <si>
    <r>
      <t>1</t>
    </r>
    <r>
      <rPr>
        <b/>
        <i/>
        <vertAlign val="superscript"/>
        <sz val="12"/>
        <color theme="1"/>
        <rFont val="Times New Roman"/>
        <family val="1"/>
      </rPr>
      <t xml:space="preserve">ffaa </t>
    </r>
    <r>
      <rPr>
        <b/>
        <i/>
        <sz val="12"/>
        <color theme="1"/>
        <rFont val="Times New Roman"/>
        <family val="1"/>
      </rPr>
      <t>Addaa</t>
    </r>
  </si>
  <si>
    <r>
      <t>1</t>
    </r>
    <r>
      <rPr>
        <b/>
        <i/>
        <vertAlign val="superscript"/>
        <sz val="12"/>
        <color theme="1"/>
        <rFont val="Times New Roman"/>
        <family val="1"/>
      </rPr>
      <t>ffaa</t>
    </r>
  </si>
  <si>
    <t>Maqaa Dhaabbaata</t>
  </si>
  <si>
    <t>Telegram User Name</t>
  </si>
  <si>
    <t>Maqaa Hojii Gaggeessa  fi Itti Aanaa Hojii Gaggeessa Hanga Akaakayyuutti</t>
  </si>
  <si>
    <t>Baay'ina Maamila Dhaabbata</t>
  </si>
  <si>
    <t>Uummata bishaan dhugaatti Fayyaadama Tahee jiru</t>
  </si>
  <si>
    <t>%NRW</t>
  </si>
  <si>
    <r>
      <t xml:space="preserve"> Guca-1 </t>
    </r>
    <r>
      <rPr>
        <b/>
        <u/>
        <sz val="12"/>
        <color theme="1"/>
        <rFont val="Times New Roman"/>
        <family val="1"/>
      </rPr>
      <t>Ragaa Hojii Gaggeessitoota  fi Itti Aanaa Hojii Gaggeessa Dhaabbataa Tajaajila Bishaan Dhugaatii fi Dhangala'aa Magaalootaa Sadarkaa1</t>
    </r>
    <r>
      <rPr>
        <b/>
        <u/>
        <vertAlign val="superscript"/>
        <sz val="12"/>
        <color theme="1"/>
        <rFont val="Times New Roman"/>
        <family val="1"/>
      </rPr>
      <t>ffaa</t>
    </r>
    <r>
      <rPr>
        <b/>
        <u/>
        <sz val="12"/>
        <color theme="1"/>
        <rFont val="Times New Roman"/>
        <family val="1"/>
      </rPr>
      <t>-Addaa, 1</t>
    </r>
    <r>
      <rPr>
        <b/>
        <u/>
        <vertAlign val="superscript"/>
        <sz val="12"/>
        <color theme="1"/>
        <rFont val="Times New Roman"/>
        <family val="1"/>
      </rPr>
      <t>ffaa</t>
    </r>
    <r>
      <rPr>
        <b/>
        <u/>
        <sz val="12"/>
        <color theme="1"/>
        <rFont val="Times New Roman"/>
        <family val="1"/>
      </rPr>
      <t xml:space="preserve"> fi 2</t>
    </r>
    <r>
      <rPr>
        <b/>
        <u/>
        <vertAlign val="superscript"/>
        <sz val="12"/>
        <color theme="1"/>
        <rFont val="Times New Roman"/>
        <family val="1"/>
      </rPr>
      <t>ffaa</t>
    </r>
    <r>
      <rPr>
        <b/>
        <u/>
        <sz val="12"/>
        <color theme="1"/>
        <rFont val="Times New Roman"/>
        <family val="1"/>
      </rPr>
      <t xml:space="preserve">  Bara 2018</t>
    </r>
  </si>
  <si>
    <t>Website Qabdu yoo tahee Link isaa</t>
  </si>
  <si>
    <t>Baay’ina Madda Bishaanii fi Gosaa isaa</t>
  </si>
  <si>
    <t>Baay’ina Hojjeeta dhaabbii, Kontiraata, Imx…..</t>
  </si>
  <si>
    <t xml:space="preserve">Obb. Tasfaayee Hirkoo Wordofee </t>
  </si>
  <si>
    <t>dhi</t>
  </si>
  <si>
    <t>B.A</t>
  </si>
  <si>
    <t>Mgt</t>
  </si>
  <si>
    <t>tesfayehirko4574@gmail.com</t>
  </si>
  <si>
    <t>Tesfaye Hirko</t>
  </si>
  <si>
    <t>Boolla Gadi fagoo 14 fi burqaa 1 kanneen keessa kan hin hojjenne boolla 2 fi burqaa 1</t>
  </si>
  <si>
    <t>Galaanaa Mokonnon Nigaatuu</t>
  </si>
  <si>
    <t>Dhiira</t>
  </si>
  <si>
    <t>Digirii 2ffaa</t>
  </si>
  <si>
    <t>Public Health + Mgt</t>
  </si>
  <si>
    <t>251 917509091</t>
  </si>
  <si>
    <t>gelmako.2020@gmail.com</t>
  </si>
  <si>
    <t>Gelana</t>
  </si>
  <si>
    <t>Yadataa Tasammaa Jaalataa</t>
  </si>
  <si>
    <t>HWRE&amp; MBA</t>
  </si>
  <si>
    <t>yadetatesema17@gmail.com</t>
  </si>
  <si>
    <t>Yadeta Tesema</t>
  </si>
  <si>
    <t>Naqamtee fi Naannoo isaa</t>
  </si>
  <si>
    <t>Kaliil Huseen Keerroo</t>
  </si>
  <si>
    <t>Gandoota Hedduu Mi'oo Gaasaraa</t>
  </si>
  <si>
    <t>Dhi</t>
  </si>
  <si>
    <t>Digirii</t>
  </si>
  <si>
    <t>Economics</t>
  </si>
  <si>
    <t>0989053433 ykn 0921487063</t>
  </si>
  <si>
    <t>kalilhussein111@gmail.com</t>
  </si>
  <si>
    <t>28 (24=Spring fi 4=Deep Well)</t>
  </si>
  <si>
    <t>Dhaabbii 58 fi kontiraata 14 waliigalaa 72.</t>
  </si>
  <si>
    <t>Ahmed Abduljaliil Karkuu</t>
  </si>
  <si>
    <t>Dhi.</t>
  </si>
  <si>
    <t>MA</t>
  </si>
  <si>
    <t>Masters of Business Adminstration</t>
  </si>
  <si>
    <t>amarahmi374@gmail.com</t>
  </si>
  <si>
    <t>Ahmad Abdi</t>
  </si>
  <si>
    <t>awwssse.oromiawater.org</t>
  </si>
  <si>
    <t>Treatment plant = 2 fi Boolla gadifagoo =15</t>
  </si>
  <si>
    <t>Dhaabbii = 357, Kontiraata = 86</t>
  </si>
  <si>
    <t>Kaasaa Bakuraa G/Mariyam</t>
  </si>
  <si>
    <t>MSC</t>
  </si>
  <si>
    <t>Mastetrs of Water resources Engineering</t>
  </si>
  <si>
    <t>Kasabekure@gmail.com</t>
  </si>
  <si>
    <t>IMX dubbisa lakkooftuu bishaanii = 37, IMX qotiinsa sarara ujummoo bishaanii = 72, Ejensii eegumsaa = 92</t>
  </si>
  <si>
    <t>Dajanee Damissee Maaruu</t>
  </si>
  <si>
    <t>Masters of Leader ship and change Management</t>
  </si>
  <si>
    <t>dejenedenisse5@gmail.com</t>
  </si>
  <si>
    <t>Girmaa Lammaa Badhishuu</t>
  </si>
  <si>
    <t>B.SC. Deg</t>
  </si>
  <si>
    <t>Civil Engineering</t>
  </si>
  <si>
    <t>LHHGgME</t>
  </si>
  <si>
    <t>Dhaabbii 303    Konti.122</t>
  </si>
  <si>
    <t>Baatii Guyyoo Jirmoo</t>
  </si>
  <si>
    <t>Msc</t>
  </si>
  <si>
    <t>Project Magt</t>
  </si>
  <si>
    <t xml:space="preserve">bati guyo 32 @gmail.com </t>
  </si>
  <si>
    <t>isakanatv</t>
  </si>
  <si>
    <t>Rozaa Isaa Abdulqaadir</t>
  </si>
  <si>
    <t>Dub</t>
  </si>
  <si>
    <t>B.A. Deg</t>
  </si>
  <si>
    <t>Public Magt</t>
  </si>
  <si>
    <t>rozaissa5@ gmail. Com</t>
  </si>
  <si>
    <t>Umu- yunus</t>
  </si>
  <si>
    <t>Bishoftuu</t>
  </si>
  <si>
    <t>Adaamaa</t>
  </si>
  <si>
    <t>girmalemma2009@gmail com.</t>
  </si>
  <si>
    <t>Abinnat Shamuu Abboyyee</t>
  </si>
  <si>
    <t xml:space="preserve">Shaggar </t>
  </si>
  <si>
    <t>Project  Management</t>
  </si>
  <si>
    <t>abinet048@gmail.com</t>
  </si>
  <si>
    <t>@Abinet-19</t>
  </si>
  <si>
    <t xml:space="preserve">100 gosaa 95 Boolla fi 5 Spring water  </t>
  </si>
  <si>
    <t>Laggasaa Asaffaa Tolaa</t>
  </si>
  <si>
    <t>Envaromental Science</t>
  </si>
  <si>
    <t>leggesea52@gmail.com</t>
  </si>
  <si>
    <t>Gammachuu Mokonnon Abaataa</t>
  </si>
  <si>
    <t>BSC</t>
  </si>
  <si>
    <t>Earth Science</t>
  </si>
  <si>
    <t>fenansin15@gmail.com</t>
  </si>
  <si>
    <t>Waliigala = 425</t>
  </si>
  <si>
    <t>Waliigala = 644</t>
  </si>
  <si>
    <t>Waliigala = 708</t>
  </si>
  <si>
    <t>Boolla gadifagoo = 59</t>
  </si>
  <si>
    <t>DejeneDemisse5@gmail.com</t>
  </si>
  <si>
    <t>https://nekemte.halletasoftware.com</t>
  </si>
  <si>
    <t>One Surfce dum, three borhoes &amp; two motorized spring</t>
  </si>
  <si>
    <t>Dhaabbii= 122, 
kontoraata=3
Hojjetoota guyyaa= 27</t>
  </si>
  <si>
    <t>Daba Ararsa Meka</t>
  </si>
  <si>
    <t>Ambo-Guder</t>
  </si>
  <si>
    <t>MSc</t>
  </si>
  <si>
    <t xml:space="preserve">Water Supply &amp; Sanitary Engineer </t>
  </si>
  <si>
    <t>roberadaba55@gmail.com</t>
  </si>
  <si>
    <t xml:space="preserve">Laga, Burqaa fi Bolla gadifagoo </t>
  </si>
  <si>
    <t>133, 2= 135</t>
  </si>
  <si>
    <t xml:space="preserve">Adam Ahimad </t>
  </si>
  <si>
    <t>MBA</t>
  </si>
  <si>
    <t>ademahmed037@gmail.com</t>
  </si>
  <si>
    <t>adem ahmed</t>
  </si>
  <si>
    <t>Rever Diversion=2                   Deep Well =4                                  Spring with distribution=18                 Total =24</t>
  </si>
  <si>
    <t>Kamaal Galatoo</t>
  </si>
  <si>
    <t>Bsc</t>
  </si>
  <si>
    <t>Hydraulic&amp;Water ResourceEngineering</t>
  </si>
  <si>
    <t>kemalgeleto84gmail.com</t>
  </si>
  <si>
    <t>kemal Geleto</t>
  </si>
  <si>
    <t>Asallaa Saaguree</t>
  </si>
  <si>
    <t>Waliigala = 190</t>
  </si>
  <si>
    <t xml:space="preserve">dhaabbi=172                   kontiraata=18 </t>
  </si>
  <si>
    <t xml:space="preserve">Dhabbii =506, Kont=105 fi IMX =97 </t>
  </si>
  <si>
    <t>Bantaa Waarii Waadoo</t>
  </si>
  <si>
    <t xml:space="preserve">Batu Adamii Tulluu  </t>
  </si>
  <si>
    <t>dhir</t>
  </si>
  <si>
    <t>Public Financial Management</t>
  </si>
  <si>
    <t>bentaawaarii@gmail.com</t>
  </si>
  <si>
    <t>Benta Wari</t>
  </si>
  <si>
    <t>laga/tiritmentii = 1, Burqaa 2 fi Boolla 22</t>
  </si>
  <si>
    <t>Dhaabbii = 91</t>
  </si>
  <si>
    <t>Jawaaroo Daqaboo Tassoo</t>
  </si>
  <si>
    <t>Gadab Arsii</t>
  </si>
  <si>
    <t>COTM</t>
  </si>
  <si>
    <t>jewarodekebo98@gmail.com</t>
  </si>
  <si>
    <t>dhaabbii = 125, kontiiraataa = 31 w/g =156</t>
  </si>
  <si>
    <t>Burqaa Pampii=1,  Burqaa Giraavity=2 fi Boollaa Bishaanii =8</t>
  </si>
  <si>
    <t>Inj.Aliyyii Angishuu Tukkee</t>
  </si>
  <si>
    <t>Heeban Nageellee Siraaroo</t>
  </si>
  <si>
    <t>Dhii</t>
  </si>
  <si>
    <t>Civil Engneering(Geo techincal)</t>
  </si>
  <si>
    <t>aliyituke@gmail.com</t>
  </si>
  <si>
    <t>Aliyii Angishuu</t>
  </si>
  <si>
    <t>hnswssse.oromiawater.org</t>
  </si>
  <si>
    <t>BGF.27 Burqaaa 3 W/qabaa 30</t>
  </si>
  <si>
    <t>Hoj.Dhaabbii 192, Hoj.Kontirataa 94</t>
  </si>
  <si>
    <t>Inj.Dabbabaa Kabbada Gabiree</t>
  </si>
  <si>
    <t>Degirii 2ffaa</t>
  </si>
  <si>
    <t>Hydrolic Engineer and Msc project management</t>
  </si>
  <si>
    <t>debekebe414@gmail.com</t>
  </si>
  <si>
    <t>@Kebedeaa</t>
  </si>
  <si>
    <t>Waliigala = 286</t>
  </si>
  <si>
    <t>Tolaa Nagaash Biraa</t>
  </si>
  <si>
    <t>Huruta hexosaa Dheeraa</t>
  </si>
  <si>
    <t>Digrii</t>
  </si>
  <si>
    <t>Business Management</t>
  </si>
  <si>
    <t>Hin jiru</t>
  </si>
  <si>
    <t>Tolaa 0911922546</t>
  </si>
  <si>
    <t>WWW.hurutahetosadera.com</t>
  </si>
  <si>
    <t>Waligalaa 17  Spring  15   Bolla 2</t>
  </si>
  <si>
    <t>Hojjataa Dhaabbii 202 fi Kontirataa 4</t>
  </si>
  <si>
    <t>Muktaar Amaan kennoo</t>
  </si>
  <si>
    <t>Hydraulic and water resource engineering</t>
  </si>
  <si>
    <t>muktiaman35@gmail.com</t>
  </si>
  <si>
    <t>Waliigala = 206</t>
  </si>
  <si>
    <t>Muktaar Amaan</t>
  </si>
  <si>
    <t>Munawwar Huseen Jamaal</t>
  </si>
  <si>
    <t>Dh.Taj.Bish.M/Jimmaa</t>
  </si>
  <si>
    <t>Mast.</t>
  </si>
  <si>
    <t>H/Eng</t>
  </si>
  <si>
    <t xml:space="preserve">Munawer Husen @gmail co.m </t>
  </si>
  <si>
    <t>@Abu_siyaam</t>
  </si>
  <si>
    <t>http://jtwssse.gov.et</t>
  </si>
  <si>
    <t>Gosa  (3)
Lagaa    1
Burqaa  7
Bol'aa    2</t>
  </si>
  <si>
    <t>Baayyina hojjataa dhaabbii= 180, Kontraata=2, Hojjataa guyya=44</t>
  </si>
  <si>
    <t>Darajjee Alamaayyoo Baqqalaa</t>
  </si>
  <si>
    <t>Mokoo Qooqaa Ejeersa</t>
  </si>
  <si>
    <t>BA</t>
  </si>
  <si>
    <t>BUS.Mgt</t>
  </si>
  <si>
    <t>darajealemayo704@gmail.com</t>
  </si>
  <si>
    <t>14 Borehole</t>
  </si>
  <si>
    <t>103-Hoj.Dhaabbii,18-Kont.fi 5 H.Guyyaa</t>
  </si>
  <si>
    <t xml:space="preserve">Xurunaa Abdisaa </t>
  </si>
  <si>
    <t>BSc</t>
  </si>
  <si>
    <t>Civ.Eng.</t>
  </si>
  <si>
    <t>teru.nabyu3262@gmail.com</t>
  </si>
  <si>
    <t>Waliigala = 126</t>
  </si>
  <si>
    <t>Jimaa Taadasaa</t>
  </si>
  <si>
    <t>Roobe</t>
  </si>
  <si>
    <t>jimataddessa@gmail.com</t>
  </si>
  <si>
    <t>Burqa=4   Tritimant=2 Bolla gadi fago=6  Wali=12  Bolli 2 tajaajila hin keenu</t>
  </si>
  <si>
    <t>Dhaabbii=146, kontiiraata=21, guyyaa=10, w/g=177</t>
  </si>
  <si>
    <t xml:space="preserve">Inj.Damisee  Nyooree  </t>
  </si>
  <si>
    <t>Shaashamannee</t>
  </si>
  <si>
    <t>Dh</t>
  </si>
  <si>
    <t>Bsc&amp;MBA</t>
  </si>
  <si>
    <t>Civil Engnering &amp;Masters of Busness Admnistration</t>
  </si>
  <si>
    <t>0964588119</t>
  </si>
  <si>
    <t>demissiegnorie@gmail.com</t>
  </si>
  <si>
    <t>Damisee Gnorie</t>
  </si>
  <si>
    <t>https://Www.shashewater.org.et</t>
  </si>
  <si>
    <t>Boolla Gadi fagoo-16, Laga dabsu  2, Burqaa-1 w/g=  19</t>
  </si>
  <si>
    <t>Dhaabbii 242 fi  Kontiraata, 20 W/g=  262</t>
  </si>
  <si>
    <t>Dibaabaa Laggasee</t>
  </si>
  <si>
    <t>Civil &amp; Elect. Engnering</t>
  </si>
  <si>
    <t>0927080171</t>
  </si>
  <si>
    <t>dlofele@gmail.com</t>
  </si>
  <si>
    <t>Dibaba Lagese</t>
  </si>
  <si>
    <t>Waliigala = 262</t>
  </si>
  <si>
    <t>Walisoo Gooroo</t>
  </si>
  <si>
    <t>Management</t>
  </si>
  <si>
    <t>girmadisasa2019@gmail.com</t>
  </si>
  <si>
    <t>@girmish2026</t>
  </si>
  <si>
    <t>1 TP and 14BH existing and 7BH Under testing to handover</t>
  </si>
  <si>
    <t>Dhabbii=83 Kontirataa = 18</t>
  </si>
  <si>
    <t>Project Leadership and Management (PLM)</t>
  </si>
  <si>
    <t>motumat7@gmail.com</t>
  </si>
  <si>
    <t>@moti10</t>
  </si>
  <si>
    <t>Girmaa Disaasaa  (Hojii Gaggeessaa Dhabbatichaa))</t>
  </si>
  <si>
    <t>Mootummaa Taaddasaa  (I/A Hojii Gaggeessaa Dhabbatichaa)</t>
  </si>
  <si>
    <t>Waliigala = 101</t>
  </si>
  <si>
    <t>Jaarsoo kuyyuu</t>
  </si>
  <si>
    <t>Eng.Zelaalam Geetane Fiqiree</t>
  </si>
  <si>
    <t>Adoolaa-Shaakkisoo</t>
  </si>
  <si>
    <t>dhiraa</t>
  </si>
  <si>
    <t>M.A and Bsc</t>
  </si>
  <si>
    <t>BSC.CIVIL ENGINEERING and MBA</t>
  </si>
  <si>
    <t>0931314992</t>
  </si>
  <si>
    <t>getanehzelalem@gmail.com</t>
  </si>
  <si>
    <t>Zelalem Getaneh</t>
  </si>
  <si>
    <t>hin qabnu</t>
  </si>
  <si>
    <t xml:space="preserve"> maddaa 2 qabna isaaniis tiritiimentii tokko fi  bollaa tokko</t>
  </si>
  <si>
    <t>78 (dhaabbii=73 Kontiraata=5</t>
  </si>
  <si>
    <t>Nabsoo Kamaal A/Bulguu</t>
  </si>
  <si>
    <t>Ag.Gommaa</t>
  </si>
  <si>
    <t>Digr.</t>
  </si>
  <si>
    <t>NabsoKamalgmail.com.</t>
  </si>
  <si>
    <t>Nabso kamal</t>
  </si>
  <si>
    <t>Boolla=10 fi new treatment  1     %85</t>
  </si>
  <si>
    <t>dhaabbii :22, kontirataa: 31, waligala : 53</t>
  </si>
  <si>
    <t>Barsiisaa Tafarii Dabaloo</t>
  </si>
  <si>
    <t>Ayyaanaa</t>
  </si>
  <si>
    <t>Business Administration</t>
  </si>
  <si>
    <t>ayanatownwatersupply@gmail.com</t>
  </si>
  <si>
    <t>Bersisa Teferi</t>
  </si>
  <si>
    <t>3, gravity, 1 solar pump</t>
  </si>
  <si>
    <t>IMX Hin qabnu</t>
  </si>
  <si>
    <t>Sileshii Nagaasa Mandiyaa</t>
  </si>
  <si>
    <t xml:space="preserve">dhi </t>
  </si>
  <si>
    <t>Development Managnment,BSc Electical Enginering</t>
  </si>
  <si>
    <t>Sileshinegassa@gmail.com</t>
  </si>
  <si>
    <t>Bedele Town water suply  Servce</t>
  </si>
  <si>
    <t>dhabbbi=44 ,Kontiraata =35 Ida'ama =79</t>
  </si>
  <si>
    <t>Beddelle Gammadaa</t>
  </si>
  <si>
    <t>Saafayii Galma Uraagoo</t>
  </si>
  <si>
    <t>Bulee Horaaf Garbaa</t>
  </si>
  <si>
    <t xml:space="preserve">Degree </t>
  </si>
  <si>
    <t>civil engineering</t>
  </si>
  <si>
    <t>safegalma63@gmail.com</t>
  </si>
  <si>
    <t>safegalma</t>
  </si>
  <si>
    <t>Boolla = 8</t>
  </si>
  <si>
    <t>dhaabbii =71, kontiiraata=52, yeroo=17 fi yaalii 2</t>
  </si>
  <si>
    <t xml:space="preserve">Abubakar Umar Alii </t>
  </si>
  <si>
    <t>Ciroo-Siree</t>
  </si>
  <si>
    <t>Dig</t>
  </si>
  <si>
    <t>Water Supply&amp; sanitation,BMT</t>
  </si>
  <si>
    <t>abukiumar228@gmail.com</t>
  </si>
  <si>
    <t>Abubakar umar</t>
  </si>
  <si>
    <t>16=DW=11,SW=5</t>
  </si>
  <si>
    <t>Hoj/dhaabbii=127,Kontirata=4  Hojeta guyyaa=6</t>
  </si>
  <si>
    <t>Waaqoo Shaggar Waariyoo</t>
  </si>
  <si>
    <t>Degree</t>
  </si>
  <si>
    <t>Bis. Mgt</t>
  </si>
  <si>
    <t>Wakosheger@gmail.com</t>
  </si>
  <si>
    <t>Wako shager</t>
  </si>
  <si>
    <t>2 spring</t>
  </si>
  <si>
    <t>27 dhabbii, 4 kontiraata</t>
  </si>
  <si>
    <t>Dallo Manna.</t>
  </si>
  <si>
    <t xml:space="preserve">Geetaachoo Baaqqalee Aagaa </t>
  </si>
  <si>
    <t xml:space="preserve">Dambi Doolloo </t>
  </si>
  <si>
    <t>0917230577</t>
  </si>
  <si>
    <t>getachewbekele836@gmail.com</t>
  </si>
  <si>
    <t>Getachew Bekele</t>
  </si>
  <si>
    <t xml:space="preserve">Deep well-3 Shallow well-1,Treatment plant 1 </t>
  </si>
  <si>
    <t>Dhaabbataa 44 fi Guyyaa 16</t>
  </si>
  <si>
    <t>Girmaa  Tolaa Taaddasa</t>
  </si>
  <si>
    <t>Econo.</t>
  </si>
  <si>
    <t>tollagirma68@gmail.com</t>
  </si>
  <si>
    <t>Girmaa Tolaa</t>
  </si>
  <si>
    <t xml:space="preserve"> Burqaa facaa'insa=10, Boolla  gadi fagoo=22, burqaa motoran  raabsamu=6</t>
  </si>
  <si>
    <t>Hojjeeta dhaabbii=102, Hojjeeta Kontiraata=6</t>
  </si>
  <si>
    <t>Fiichee  fi Naannoo  isa</t>
  </si>
  <si>
    <t>Ibsaa Ayyalaa Godaanaa</t>
  </si>
  <si>
    <t>Gannaalee-Nageellee Booranaa</t>
  </si>
  <si>
    <t>MSc.</t>
  </si>
  <si>
    <t>Hydraulic Engineering</t>
  </si>
  <si>
    <t>ibsaayele@gmail.com</t>
  </si>
  <si>
    <t>@Ibsa_Ayele</t>
  </si>
  <si>
    <t>3 (Haroo roobaa, Boollaa fi Galaana jallisuu)</t>
  </si>
  <si>
    <t>Dhaabbii: 40, Kontiraata: 34, Guyyaa: 6, w/g= 81</t>
  </si>
  <si>
    <t>Daawwit Daanyee Olaanaa</t>
  </si>
  <si>
    <t>Magaalaa Gimbii</t>
  </si>
  <si>
    <t>Digirii Jalqabaa</t>
  </si>
  <si>
    <t>Electrical Engineering</t>
  </si>
  <si>
    <t>0917227511</t>
  </si>
  <si>
    <t>dawitdagne81@gmail.com</t>
  </si>
  <si>
    <t>Treatment Plant 2 fi Burqaa Raabsaa Waliinii 1</t>
  </si>
  <si>
    <t>Hojjettoota Dhaabbii 84 fi Kontiraata 1 Waliigala Nama 85</t>
  </si>
  <si>
    <t>Imishaaw Tashooma Geetaachoo</t>
  </si>
  <si>
    <t>Businas Mgt &amp; Enterpurener</t>
  </si>
  <si>
    <t>0924842164 0978934873</t>
  </si>
  <si>
    <t>emishawteshoma@gmail.Com</t>
  </si>
  <si>
    <t>G.F</t>
  </si>
  <si>
    <t xml:space="preserve"> Burqaa= 2 fi Bola gaddii Fagoo= 4 Walii gala =6</t>
  </si>
  <si>
    <t xml:space="preserve">hojeetoota Dhaabbii 49 fi hojjeetoota kontirata 10 walii gala =59 </t>
  </si>
  <si>
    <t>Gandoota Heddumina G.Fantaallee</t>
  </si>
  <si>
    <t>Kadiir Sa'id Muhaammad</t>
  </si>
  <si>
    <t xml:space="preserve"> Gobeessaa </t>
  </si>
  <si>
    <t>Hydraulic and Water Resource Engineering</t>
  </si>
  <si>
    <t>"0917918351</t>
  </si>
  <si>
    <t>kedirsaid2015@gmail.com</t>
  </si>
  <si>
    <t>KSm8351</t>
  </si>
  <si>
    <t>_</t>
  </si>
  <si>
    <t>Gosa 2, Baay'ina 41</t>
  </si>
  <si>
    <t>dhaabbii=98, koontiraata=4</t>
  </si>
  <si>
    <t xml:space="preserve">Obbo Dabalaa Kusaa Guddataa </t>
  </si>
  <si>
    <t>Msr</t>
  </si>
  <si>
    <t>Business Adminstration</t>
  </si>
  <si>
    <t>debela kusa @gmail .com</t>
  </si>
  <si>
    <t>debala kusa</t>
  </si>
  <si>
    <t>24 bore hole</t>
  </si>
  <si>
    <t>Hoolataa Ejeree</t>
  </si>
  <si>
    <t xml:space="preserve">Fami Mahammad Abdullahi </t>
  </si>
  <si>
    <t>MAAYAA</t>
  </si>
  <si>
    <t>DHI</t>
  </si>
  <si>
    <t>DIGRII</t>
  </si>
  <si>
    <t>WATER ENG</t>
  </si>
  <si>
    <t>MOHA.FAHMI@GMAIL.COM</t>
  </si>
  <si>
    <t>FAMISH</t>
  </si>
  <si>
    <t>hojjeeta dhaabbii=61, hojjeeta kontiraata=7, W/g=68</t>
  </si>
  <si>
    <t>3 (SHALLOW WELL)</t>
  </si>
  <si>
    <t xml:space="preserve">Hayiluu Badhaanee Magarsoo </t>
  </si>
  <si>
    <t xml:space="preserve">Dhiira </t>
  </si>
  <si>
    <t xml:space="preserve">Digrii </t>
  </si>
  <si>
    <t>Ji'ooloojii.</t>
  </si>
  <si>
    <t>hailubedane2031@gmail.com</t>
  </si>
  <si>
    <t>Boolla gadi fagoo =11</t>
  </si>
  <si>
    <t>Dhaabbii= 46
Kooniraata = 27
Hojjataa Guyyaa =30</t>
  </si>
  <si>
    <t xml:space="preserve">Maqii </t>
  </si>
  <si>
    <t>Isahaaq Sharif Suleman</t>
  </si>
  <si>
    <t>isahaqsherif@gmail.com</t>
  </si>
  <si>
    <t>Isahaaq Sharif</t>
  </si>
  <si>
    <t>4=River diversion 1  fi Boolla Gad Fagoo 3</t>
  </si>
  <si>
    <t xml:space="preserve"> Mattuu</t>
  </si>
  <si>
    <t>Hojjetaa Dhaabbii=72 fi Kontiraata=11 W/g 83</t>
  </si>
  <si>
    <t>Dhaabii=78 Kontiraata=104 W/g=182</t>
  </si>
  <si>
    <t>Fayisaa Caalaa Toloosaa</t>
  </si>
  <si>
    <t>Oolancitii</t>
  </si>
  <si>
    <t>fayisacala47@gmeil.com</t>
  </si>
  <si>
    <t>Feyisa Chala</t>
  </si>
  <si>
    <t>Bore holes 13</t>
  </si>
  <si>
    <t>Hojjeta dhaabbii 45 
Hojjeta Kontiraata 5
Hojjeta Guyyaa 10
Walumatti 60</t>
  </si>
  <si>
    <t>Obboo Ibrahim Adaam xemmoo</t>
  </si>
  <si>
    <t>Qarsaa-Eegoo loolee</t>
  </si>
  <si>
    <t>2-Burqaa, 1-bollaa</t>
  </si>
  <si>
    <t>Buzaayyoo Hinkoosaa Irranaa</t>
  </si>
  <si>
    <t xml:space="preserve">Water Supply and Environmental Enginering </t>
  </si>
  <si>
    <t>Buzayohinkosa@gmail.com</t>
  </si>
  <si>
    <t xml:space="preserve">Buzayehu Hinkosa </t>
  </si>
  <si>
    <t>DW= 5 fi   S.Gravity=1</t>
  </si>
  <si>
    <t>Dhaabbii=27, kontiraataa=4 fi guyyaa 11, w/g=42</t>
  </si>
  <si>
    <t>Shaambuu</t>
  </si>
  <si>
    <t xml:space="preserve">Alamayyoo Asaffaa Kassayee </t>
  </si>
  <si>
    <t xml:space="preserve">Dig </t>
  </si>
  <si>
    <t>Alemayehups@gmail.com</t>
  </si>
  <si>
    <t>alemayehu asefa</t>
  </si>
  <si>
    <t>kan hojji keessa jiruu  Deep well 8 fi burqaa misoomee 1</t>
  </si>
  <si>
    <t>Hojjettoota dhabbii 44 Hojjettoota kontirataa 31</t>
  </si>
  <si>
    <t>Saandaafaa Bakkee</t>
  </si>
  <si>
    <t>Alamaayyoo Fayyisaa Habtee</t>
  </si>
  <si>
    <t>Shanoo Mandiidaa Miqaawaa</t>
  </si>
  <si>
    <t>Alex</t>
  </si>
  <si>
    <t>Boola Gadifagoo=21</t>
  </si>
  <si>
    <t>Dhaabbii=68, koontiraataa=23, W/g = 91</t>
  </si>
  <si>
    <t>Abbabaa Geetuu Tafarraa</t>
  </si>
  <si>
    <t>Dev/Economics</t>
  </si>
  <si>
    <t>abebegetu1979@gmail.com</t>
  </si>
  <si>
    <t>Abebe Getu</t>
  </si>
  <si>
    <t>deep well=6,shallow well=2,spring with distributtion=1</t>
  </si>
  <si>
    <t>Hoj/Dhaabbii 37,hoj/kontiraataa 8</t>
  </si>
  <si>
    <t>Tulluu Boolloo Buusaa</t>
  </si>
  <si>
    <t>Baay’ina Hojjeeta dhaabbii</t>
  </si>
  <si>
    <t>dhabbii=127, yeroo=41, w/g=169</t>
  </si>
  <si>
    <t>dhabbii17, kontiraataa=3, yeroo=3</t>
  </si>
  <si>
    <r>
      <t>1</t>
    </r>
    <r>
      <rPr>
        <vertAlign val="superscript"/>
        <sz val="12"/>
        <color theme="1"/>
        <rFont val="Times New Roman"/>
        <family val="1"/>
      </rPr>
      <t xml:space="preserve">ffaa </t>
    </r>
    <r>
      <rPr>
        <sz val="12"/>
        <color theme="1"/>
        <rFont val="Times New Roman"/>
        <family val="1"/>
      </rPr>
      <t>Addaa</t>
    </r>
  </si>
  <si>
    <r>
      <t>1</t>
    </r>
    <r>
      <rPr>
        <vertAlign val="superscript"/>
        <sz val="12"/>
        <color theme="1"/>
        <rFont val="Times New Roman"/>
        <family val="1"/>
      </rPr>
      <t>ffaa</t>
    </r>
  </si>
  <si>
    <r>
      <t>2</t>
    </r>
    <r>
      <rPr>
        <vertAlign val="superscript"/>
        <sz val="12"/>
        <color theme="1"/>
        <rFont val="Times New Roman"/>
        <family val="1"/>
      </rPr>
      <t>ffaa</t>
    </r>
  </si>
  <si>
    <t>941082480/ 0911278661</t>
  </si>
  <si>
    <t>0913931983/ 0929001447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</si>
</sst>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vertAlign val="superscript"/>
      <sz val="12"/>
      <color theme="1"/>
      <name val="Times New Roman"/>
      <family val="1"/>
    </font>
    <font>
      <b/>
      <u/>
      <vertAlign val="superscript"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101010"/>
      <name val="Times New Roman"/>
      <family val="1"/>
    </font>
    <font>
      <sz val="12"/>
      <color theme="10"/>
      <name val="Times New Roman"/>
      <family val="1"/>
    </font>
    <font>
      <vertAlign val="superscript"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3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2" fillId="0" borderId="0" xfId="0" applyFont="1" applyAlignment="1">
      <alignment wrapText="1"/>
    </xf>
    <xf numFmtId="1" fontId="3" fillId="0" borderId="1" xfId="0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vertical="center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3" borderId="1" xfId="2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 wrapText="1"/>
    </xf>
    <xf numFmtId="43" fontId="3" fillId="0" borderId="1" xfId="1" applyFont="1" applyBorder="1" applyAlignment="1">
      <alignment vertical="center" wrapText="1"/>
    </xf>
    <xf numFmtId="43" fontId="5" fillId="0" borderId="1" xfId="1" applyFont="1" applyBorder="1" applyAlignment="1">
      <alignment vertical="center"/>
    </xf>
    <xf numFmtId="43" fontId="5" fillId="0" borderId="1" xfId="1" applyFont="1" applyBorder="1" applyAlignment="1">
      <alignment horizontal="left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left" vertical="center"/>
    </xf>
    <xf numFmtId="43" fontId="13" fillId="0" borderId="1" xfId="1" applyFont="1" applyBorder="1" applyAlignment="1">
      <alignment vertical="center"/>
    </xf>
    <xf numFmtId="43" fontId="11" fillId="0" borderId="1" xfId="1" applyFont="1" applyBorder="1" applyAlignment="1">
      <alignment vertical="center"/>
    </xf>
    <xf numFmtId="43" fontId="11" fillId="0" borderId="1" xfId="1" applyFont="1" applyBorder="1" applyAlignment="1">
      <alignment vertical="center" wrapText="1"/>
    </xf>
    <xf numFmtId="12" fontId="3" fillId="0" borderId="1" xfId="0" applyNumberFormat="1" applyFont="1" applyBorder="1" applyAlignment="1">
      <alignment horizontal="center" vertical="center" wrapText="1"/>
    </xf>
    <xf numFmtId="43" fontId="5" fillId="0" borderId="1" xfId="1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 wrapText="1"/>
    </xf>
    <xf numFmtId="43" fontId="3" fillId="0" borderId="7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7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1" fillId="0" borderId="1" xfId="2" quotePrefix="1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1" fillId="0" borderId="2" xfId="2" applyNumberFormat="1" applyFont="1" applyBorder="1" applyAlignment="1">
      <alignment horizontal="center" vertical="center" wrapText="1"/>
    </xf>
    <xf numFmtId="0" fontId="11" fillId="0" borderId="6" xfId="2" applyNumberFormat="1" applyFont="1" applyBorder="1" applyAlignment="1">
      <alignment horizontal="center" vertical="center" wrapText="1"/>
    </xf>
    <xf numFmtId="0" fontId="11" fillId="0" borderId="7" xfId="2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/>
    </xf>
    <xf numFmtId="0" fontId="11" fillId="0" borderId="1" xfId="2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15" fillId="0" borderId="1" xfId="2" applyFont="1" applyBorder="1" applyAlignment="1">
      <alignment vertical="center" wrapText="1"/>
    </xf>
    <xf numFmtId="43" fontId="15" fillId="0" borderId="1" xfId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NumberFormat="1" applyFont="1" applyBorder="1" applyAlignment="1">
      <alignment horizontal="center" vertical="center" wrapText="1"/>
    </xf>
    <xf numFmtId="43" fontId="15" fillId="0" borderId="2" xfId="1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NumberFormat="1" applyFont="1" applyBorder="1" applyAlignment="1">
      <alignment horizontal="center" vertical="center" wrapText="1"/>
    </xf>
    <xf numFmtId="0" fontId="15" fillId="0" borderId="2" xfId="2" applyFont="1" applyBorder="1" applyAlignment="1">
      <alignment vertical="center" wrapText="1"/>
    </xf>
    <xf numFmtId="43" fontId="15" fillId="0" borderId="7" xfId="1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5" fillId="0" borderId="7" xfId="2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wrapText="1"/>
    </xf>
    <xf numFmtId="0" fontId="15" fillId="0" borderId="2" xfId="1" applyNumberFormat="1" applyFont="1" applyBorder="1" applyAlignment="1">
      <alignment horizontal="center" vertical="center" wrapText="1"/>
    </xf>
    <xf numFmtId="0" fontId="15" fillId="0" borderId="7" xfId="1" applyNumberFormat="1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43" fontId="15" fillId="0" borderId="7" xfId="1" applyFont="1" applyBorder="1" applyAlignment="1">
      <alignment horizontal="center" vertical="center" wrapText="1"/>
    </xf>
    <xf numFmtId="0" fontId="15" fillId="0" borderId="7" xfId="1" applyNumberFormat="1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43" fontId="15" fillId="0" borderId="1" xfId="1" applyFont="1" applyBorder="1" applyAlignment="1">
      <alignment vertical="center"/>
    </xf>
    <xf numFmtId="0" fontId="15" fillId="0" borderId="1" xfId="1" applyNumberFormat="1" applyFont="1" applyBorder="1" applyAlignment="1">
      <alignment horizontal="center" vertical="center"/>
    </xf>
    <xf numFmtId="0" fontId="15" fillId="0" borderId="1" xfId="1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vertical="center"/>
    </xf>
    <xf numFmtId="0" fontId="15" fillId="0" borderId="1" xfId="2" applyNumberFormat="1" applyFont="1" applyBorder="1" applyAlignment="1">
      <alignment horizontal="center" vertical="center"/>
    </xf>
    <xf numFmtId="0" fontId="11" fillId="0" borderId="2" xfId="2" applyNumberFormat="1" applyFont="1" applyBorder="1" applyAlignment="1">
      <alignment horizontal="center" vertical="center" wrapText="1"/>
    </xf>
    <xf numFmtId="0" fontId="11" fillId="0" borderId="6" xfId="2" applyNumberFormat="1" applyFont="1" applyBorder="1" applyAlignment="1">
      <alignment horizontal="center" vertical="center" wrapText="1"/>
    </xf>
    <xf numFmtId="0" fontId="11" fillId="0" borderId="7" xfId="2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15" fillId="0" borderId="2" xfId="2" applyNumberFormat="1" applyFont="1" applyBorder="1" applyAlignment="1">
      <alignment horizontal="center" vertical="center" wrapText="1"/>
    </xf>
    <xf numFmtId="0" fontId="15" fillId="0" borderId="7" xfId="2" applyNumberFormat="1" applyFont="1" applyBorder="1" applyAlignment="1">
      <alignment horizontal="center" vertical="center" wrapText="1"/>
    </xf>
    <xf numFmtId="0" fontId="15" fillId="0" borderId="2" xfId="1" applyNumberFormat="1" applyFont="1" applyBorder="1" applyAlignment="1">
      <alignment horizontal="center" vertical="center" wrapText="1"/>
    </xf>
    <xf numFmtId="0" fontId="15" fillId="0" borderId="6" xfId="1" applyNumberFormat="1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jeneDemisse5@gmail.com" TargetMode="External"/><Relationship Id="rId13" Type="http://schemas.openxmlformats.org/officeDocument/2006/relationships/hyperlink" Target="mailto:kalilhussein111@gmail.com" TargetMode="External"/><Relationship Id="rId3" Type="http://schemas.openxmlformats.org/officeDocument/2006/relationships/hyperlink" Target="mailto:amarahmi374@gmail.com" TargetMode="External"/><Relationship Id="rId7" Type="http://schemas.openxmlformats.org/officeDocument/2006/relationships/hyperlink" Target="mailto:leggesea52@gmail.com" TargetMode="External"/><Relationship Id="rId12" Type="http://schemas.openxmlformats.org/officeDocument/2006/relationships/hyperlink" Target="https://nekemte.halletasoftware.com/" TargetMode="External"/><Relationship Id="rId2" Type="http://schemas.openxmlformats.org/officeDocument/2006/relationships/hyperlink" Target="mailto:Kasabekure@gmail.com" TargetMode="External"/><Relationship Id="rId1" Type="http://schemas.openxmlformats.org/officeDocument/2006/relationships/hyperlink" Target="mailto:dejenedenisse5@gmail.com" TargetMode="External"/><Relationship Id="rId6" Type="http://schemas.openxmlformats.org/officeDocument/2006/relationships/hyperlink" Target="mailto:fenansin15@gmail.com" TargetMode="External"/><Relationship Id="rId11" Type="http://schemas.openxmlformats.org/officeDocument/2006/relationships/hyperlink" Target="mailto:yadetatesema17@gmail.com" TargetMode="External"/><Relationship Id="rId5" Type="http://schemas.openxmlformats.org/officeDocument/2006/relationships/hyperlink" Target="mailto:abinet048@gmail.com" TargetMode="External"/><Relationship Id="rId10" Type="http://schemas.openxmlformats.org/officeDocument/2006/relationships/hyperlink" Target="mailto:gelmako.2020@gmail.com" TargetMode="External"/><Relationship Id="rId4" Type="http://schemas.openxmlformats.org/officeDocument/2006/relationships/hyperlink" Target="mailto:girmalemma2009@gmail%20com." TargetMode="External"/><Relationship Id="rId9" Type="http://schemas.openxmlformats.org/officeDocument/2006/relationships/hyperlink" Target="mailto:Kasabekure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zoomScale="80" zoomScaleNormal="8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P4" sqref="P4:P6"/>
    </sheetView>
  </sheetViews>
  <sheetFormatPr defaultRowHeight="15.6" x14ac:dyDescent="0.3"/>
  <cols>
    <col min="1" max="1" width="10.109375" style="1" bestFit="1" customWidth="1"/>
    <col min="2" max="2" width="29.44140625" style="1" customWidth="1"/>
    <col min="3" max="3" width="12.21875" style="18" bestFit="1" customWidth="1"/>
    <col min="4" max="4" width="11.109375" style="15" bestFit="1" customWidth="1"/>
    <col min="5" max="5" width="6.109375" style="1" bestFit="1" customWidth="1"/>
    <col min="6" max="6" width="10.33203125" style="12" bestFit="1" customWidth="1"/>
    <col min="7" max="7" width="22.5546875" style="12" customWidth="1"/>
    <col min="8" max="8" width="16.77734375" style="16" bestFit="1" customWidth="1"/>
    <col min="9" max="9" width="14.5546875" style="33" bestFit="1" customWidth="1"/>
    <col min="10" max="10" width="13.5546875" style="33" bestFit="1" customWidth="1"/>
    <col min="11" max="11" width="12.5546875" style="33" customWidth="1"/>
    <col min="12" max="12" width="11.5546875" style="33" bestFit="1" customWidth="1"/>
    <col min="13" max="13" width="14.77734375" style="33" bestFit="1" customWidth="1"/>
    <col min="14" max="14" width="18" style="33" customWidth="1"/>
    <col min="15" max="15" width="8.44140625" style="33" bestFit="1" customWidth="1"/>
    <col min="16" max="16" width="14.44140625" style="103" bestFit="1" customWidth="1"/>
    <col min="17" max="17" width="14.44140625" style="103" customWidth="1"/>
    <col min="18" max="18" width="22.88671875" style="33" customWidth="1"/>
    <col min="19" max="16384" width="8.88671875" style="1"/>
  </cols>
  <sheetData>
    <row r="1" spans="1:18" ht="18" x14ac:dyDescent="0.3">
      <c r="A1" s="45" t="s">
        <v>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90"/>
      <c r="Q1" s="90"/>
      <c r="R1" s="46"/>
    </row>
    <row r="2" spans="1:18" s="47" customFormat="1" ht="78" x14ac:dyDescent="0.25">
      <c r="A2" s="107" t="s">
        <v>0</v>
      </c>
      <c r="B2" s="108" t="s">
        <v>12</v>
      </c>
      <c r="C2" s="109" t="s">
        <v>10</v>
      </c>
      <c r="D2" s="55" t="s">
        <v>4</v>
      </c>
      <c r="E2" s="55" t="s">
        <v>1</v>
      </c>
      <c r="F2" s="109" t="s">
        <v>3</v>
      </c>
      <c r="G2" s="109" t="s">
        <v>2</v>
      </c>
      <c r="H2" s="55" t="s">
        <v>5</v>
      </c>
      <c r="I2" s="110" t="s">
        <v>6</v>
      </c>
      <c r="J2" s="110" t="s">
        <v>11</v>
      </c>
      <c r="K2" s="110" t="s">
        <v>17</v>
      </c>
      <c r="L2" s="110" t="s">
        <v>13</v>
      </c>
      <c r="M2" s="110" t="s">
        <v>14</v>
      </c>
      <c r="N2" s="110" t="s">
        <v>18</v>
      </c>
      <c r="O2" s="110" t="s">
        <v>15</v>
      </c>
      <c r="P2" s="111" t="s">
        <v>394</v>
      </c>
      <c r="Q2" s="111"/>
      <c r="R2" s="110" t="s">
        <v>19</v>
      </c>
    </row>
    <row r="3" spans="1:18" s="2" customFormat="1" ht="19.2" x14ac:dyDescent="0.3">
      <c r="A3" s="19"/>
      <c r="B3" s="24" t="s">
        <v>8</v>
      </c>
      <c r="C3" s="22"/>
      <c r="D3" s="21"/>
      <c r="E3" s="21"/>
      <c r="F3" s="22"/>
      <c r="G3" s="22"/>
      <c r="H3" s="21"/>
      <c r="I3" s="20"/>
      <c r="J3" s="20"/>
      <c r="K3" s="20"/>
      <c r="L3" s="20"/>
      <c r="M3" s="20"/>
      <c r="N3" s="20"/>
      <c r="O3" s="20"/>
      <c r="P3" s="91"/>
      <c r="Q3" s="91"/>
      <c r="R3" s="20"/>
    </row>
    <row r="4" spans="1:18" s="57" customFormat="1" ht="31.2" x14ac:dyDescent="0.3">
      <c r="A4" s="72">
        <v>1</v>
      </c>
      <c r="B4" s="8" t="s">
        <v>48</v>
      </c>
      <c r="C4" s="72" t="s">
        <v>82</v>
      </c>
      <c r="D4" s="72" t="s">
        <v>397</v>
      </c>
      <c r="E4" s="7" t="s">
        <v>49</v>
      </c>
      <c r="F4" s="7" t="s">
        <v>50</v>
      </c>
      <c r="G4" s="57" t="s">
        <v>51</v>
      </c>
      <c r="H4" s="7">
        <v>911017712</v>
      </c>
      <c r="I4" s="105" t="s">
        <v>52</v>
      </c>
      <c r="J4" s="54" t="s">
        <v>53</v>
      </c>
      <c r="K4" s="82" t="s">
        <v>54</v>
      </c>
      <c r="L4" s="85">
        <v>99124</v>
      </c>
      <c r="M4" s="86">
        <v>766095</v>
      </c>
      <c r="N4" s="87" t="s">
        <v>55</v>
      </c>
      <c r="O4" s="89">
        <v>19</v>
      </c>
      <c r="P4" s="92">
        <v>357</v>
      </c>
      <c r="Q4" s="133"/>
      <c r="R4" s="38" t="s">
        <v>56</v>
      </c>
    </row>
    <row r="5" spans="1:18" s="57" customFormat="1" ht="93.6" x14ac:dyDescent="0.3">
      <c r="A5" s="76"/>
      <c r="B5" s="8" t="s">
        <v>57</v>
      </c>
      <c r="C5" s="76"/>
      <c r="D5" s="76"/>
      <c r="E5" s="7" t="s">
        <v>49</v>
      </c>
      <c r="F5" s="52" t="s">
        <v>58</v>
      </c>
      <c r="G5" s="57" t="s">
        <v>59</v>
      </c>
      <c r="H5" s="7">
        <v>911926094</v>
      </c>
      <c r="I5" s="105" t="s">
        <v>60</v>
      </c>
      <c r="J5" s="105" t="s">
        <v>60</v>
      </c>
      <c r="K5" s="83"/>
      <c r="L5" s="85"/>
      <c r="M5" s="86"/>
      <c r="N5" s="88"/>
      <c r="O5" s="89"/>
      <c r="P5" s="93"/>
      <c r="Q5" s="134"/>
      <c r="R5" s="53" t="s">
        <v>61</v>
      </c>
    </row>
    <row r="6" spans="1:18" s="57" customFormat="1" ht="46.8" x14ac:dyDescent="0.3">
      <c r="A6" s="73"/>
      <c r="B6" s="38" t="s">
        <v>62</v>
      </c>
      <c r="C6" s="73"/>
      <c r="D6" s="73"/>
      <c r="E6" s="7" t="s">
        <v>49</v>
      </c>
      <c r="F6" s="58" t="s">
        <v>50</v>
      </c>
      <c r="G6" s="39" t="s">
        <v>63</v>
      </c>
      <c r="H6" s="7">
        <v>910028070</v>
      </c>
      <c r="I6" s="105" t="s">
        <v>64</v>
      </c>
      <c r="J6" s="112" t="s">
        <v>101</v>
      </c>
      <c r="K6" s="84"/>
      <c r="L6" s="85"/>
      <c r="M6" s="86"/>
      <c r="N6" s="88"/>
      <c r="O6" s="89"/>
      <c r="P6" s="94"/>
      <c r="Q6" s="135"/>
      <c r="R6" s="55" t="s">
        <v>98</v>
      </c>
    </row>
    <row r="7" spans="1:18" s="57" customFormat="1" ht="46.8" x14ac:dyDescent="0.3">
      <c r="A7" s="72">
        <v>2</v>
      </c>
      <c r="B7" s="4" t="s">
        <v>65</v>
      </c>
      <c r="C7" s="79" t="s">
        <v>81</v>
      </c>
      <c r="D7" s="72" t="s">
        <v>397</v>
      </c>
      <c r="E7" s="5" t="s">
        <v>41</v>
      </c>
      <c r="F7" s="11" t="s">
        <v>66</v>
      </c>
      <c r="G7" s="11" t="s">
        <v>67</v>
      </c>
      <c r="H7" s="37">
        <v>911089938</v>
      </c>
      <c r="I7" s="105" t="s">
        <v>83</v>
      </c>
      <c r="J7" s="8" t="s">
        <v>68</v>
      </c>
      <c r="K7" s="8"/>
      <c r="L7" s="72">
        <v>72510</v>
      </c>
      <c r="M7" s="72">
        <v>485335</v>
      </c>
      <c r="N7" s="72" t="s">
        <v>100</v>
      </c>
      <c r="O7" s="72">
        <v>15.74</v>
      </c>
      <c r="P7" s="95">
        <v>303</v>
      </c>
      <c r="Q7" s="136"/>
      <c r="R7" s="72" t="s">
        <v>69</v>
      </c>
    </row>
    <row r="8" spans="1:18" s="57" customFormat="1" ht="31.2" x14ac:dyDescent="0.3">
      <c r="A8" s="76"/>
      <c r="B8" s="4" t="s">
        <v>70</v>
      </c>
      <c r="C8" s="80"/>
      <c r="D8" s="76"/>
      <c r="E8" s="5" t="s">
        <v>41</v>
      </c>
      <c r="F8" s="11" t="s">
        <v>71</v>
      </c>
      <c r="G8" s="11" t="s">
        <v>72</v>
      </c>
      <c r="H8" s="37">
        <v>911631729</v>
      </c>
      <c r="I8" s="105" t="s">
        <v>73</v>
      </c>
      <c r="J8" s="105" t="s">
        <v>74</v>
      </c>
      <c r="K8" s="56"/>
      <c r="L8" s="76"/>
      <c r="M8" s="76"/>
      <c r="N8" s="76"/>
      <c r="O8" s="76"/>
      <c r="P8" s="96"/>
      <c r="Q8" s="137"/>
      <c r="R8" s="73"/>
    </row>
    <row r="9" spans="1:18" s="57" customFormat="1" ht="31.2" x14ac:dyDescent="0.3">
      <c r="A9" s="73"/>
      <c r="B9" s="4" t="s">
        <v>75</v>
      </c>
      <c r="C9" s="81"/>
      <c r="D9" s="73"/>
      <c r="E9" s="5" t="s">
        <v>76</v>
      </c>
      <c r="F9" s="11" t="s">
        <v>77</v>
      </c>
      <c r="G9" s="11" t="s">
        <v>78</v>
      </c>
      <c r="H9" s="37">
        <v>911330959</v>
      </c>
      <c r="I9" s="105" t="s">
        <v>79</v>
      </c>
      <c r="J9" s="105" t="s">
        <v>80</v>
      </c>
      <c r="K9" s="56"/>
      <c r="L9" s="73"/>
      <c r="M9" s="73"/>
      <c r="N9" s="73"/>
      <c r="O9" s="73"/>
      <c r="P9" s="97"/>
      <c r="Q9" s="138"/>
      <c r="R9" s="55" t="s">
        <v>97</v>
      </c>
    </row>
    <row r="10" spans="1:18" s="57" customFormat="1" ht="31.2" x14ac:dyDescent="0.3">
      <c r="A10" s="72">
        <v>3</v>
      </c>
      <c r="B10" s="40" t="s">
        <v>84</v>
      </c>
      <c r="C10" s="72" t="s">
        <v>85</v>
      </c>
      <c r="D10" s="72" t="s">
        <v>397</v>
      </c>
      <c r="E10" s="41" t="s">
        <v>41</v>
      </c>
      <c r="F10" s="42" t="s">
        <v>58</v>
      </c>
      <c r="G10" s="42" t="s">
        <v>86</v>
      </c>
      <c r="H10" s="7">
        <v>930372948</v>
      </c>
      <c r="I10" s="105" t="s">
        <v>87</v>
      </c>
      <c r="J10" s="8" t="s">
        <v>88</v>
      </c>
      <c r="K10" s="8"/>
      <c r="L10" s="72">
        <v>167825</v>
      </c>
      <c r="M10" s="72">
        <v>1318042</v>
      </c>
      <c r="N10" s="72" t="s">
        <v>89</v>
      </c>
      <c r="O10" s="72">
        <v>25.26</v>
      </c>
      <c r="P10" s="95">
        <v>506</v>
      </c>
      <c r="Q10" s="136"/>
      <c r="R10" s="72" t="s">
        <v>125</v>
      </c>
    </row>
    <row r="11" spans="1:18" s="57" customFormat="1" ht="31.2" x14ac:dyDescent="0.3">
      <c r="A11" s="76"/>
      <c r="B11" s="8" t="s">
        <v>90</v>
      </c>
      <c r="C11" s="76"/>
      <c r="D11" s="76"/>
      <c r="E11" s="7" t="s">
        <v>41</v>
      </c>
      <c r="F11" s="10" t="s">
        <v>58</v>
      </c>
      <c r="G11" s="10" t="s">
        <v>91</v>
      </c>
      <c r="H11" s="7">
        <v>912688653</v>
      </c>
      <c r="I11" s="105" t="s">
        <v>92</v>
      </c>
      <c r="J11" s="8">
        <v>912688653</v>
      </c>
      <c r="K11" s="8"/>
      <c r="L11" s="76"/>
      <c r="M11" s="76"/>
      <c r="N11" s="76"/>
      <c r="O11" s="76"/>
      <c r="P11" s="96"/>
      <c r="Q11" s="137"/>
      <c r="R11" s="73"/>
    </row>
    <row r="12" spans="1:18" s="57" customFormat="1" ht="43.05" customHeight="1" x14ac:dyDescent="0.3">
      <c r="A12" s="73"/>
      <c r="B12" s="8" t="s">
        <v>93</v>
      </c>
      <c r="C12" s="73"/>
      <c r="D12" s="73"/>
      <c r="E12" s="7" t="s">
        <v>41</v>
      </c>
      <c r="F12" s="10" t="s">
        <v>94</v>
      </c>
      <c r="G12" s="10" t="s">
        <v>95</v>
      </c>
      <c r="H12" s="7">
        <v>910356445</v>
      </c>
      <c r="I12" s="105" t="s">
        <v>96</v>
      </c>
      <c r="J12" s="8">
        <v>910356445</v>
      </c>
      <c r="K12" s="8"/>
      <c r="L12" s="73"/>
      <c r="M12" s="73"/>
      <c r="N12" s="73"/>
      <c r="O12" s="73"/>
      <c r="P12" s="97"/>
      <c r="Q12" s="138"/>
      <c r="R12" s="55" t="s">
        <v>99</v>
      </c>
    </row>
    <row r="13" spans="1:18" s="2" customFormat="1" ht="19.2" x14ac:dyDescent="0.3">
      <c r="A13" s="23"/>
      <c r="B13" s="24" t="s">
        <v>9</v>
      </c>
      <c r="C13" s="26"/>
      <c r="D13" s="25"/>
      <c r="E13" s="25"/>
      <c r="F13" s="26"/>
      <c r="G13" s="26"/>
      <c r="H13" s="25"/>
      <c r="I13" s="34"/>
      <c r="J13" s="34"/>
      <c r="K13" s="34"/>
      <c r="L13" s="34"/>
      <c r="M13" s="34"/>
      <c r="N13" s="34"/>
      <c r="O13" s="34"/>
      <c r="P13" s="98"/>
      <c r="Q13" s="98"/>
      <c r="R13" s="34"/>
    </row>
    <row r="14" spans="1:18" s="2" customFormat="1" ht="31.2" x14ac:dyDescent="0.3">
      <c r="A14" s="6">
        <v>1</v>
      </c>
      <c r="B14" s="8" t="s">
        <v>105</v>
      </c>
      <c r="C14" s="10" t="s">
        <v>106</v>
      </c>
      <c r="D14" s="7" t="s">
        <v>398</v>
      </c>
      <c r="E14" s="7" t="s">
        <v>28</v>
      </c>
      <c r="F14" s="10" t="s">
        <v>107</v>
      </c>
      <c r="G14" s="10" t="s">
        <v>108</v>
      </c>
      <c r="H14" s="7">
        <v>961306095</v>
      </c>
      <c r="I14" s="105" t="s">
        <v>109</v>
      </c>
      <c r="J14" s="105">
        <v>961306095</v>
      </c>
      <c r="K14" s="105"/>
      <c r="L14" s="106">
        <v>26815</v>
      </c>
      <c r="M14" s="106">
        <v>150575</v>
      </c>
      <c r="N14" s="105" t="s">
        <v>110</v>
      </c>
      <c r="O14" s="105">
        <v>20</v>
      </c>
      <c r="P14" s="113">
        <v>133</v>
      </c>
      <c r="Q14" s="113"/>
      <c r="R14" s="105" t="s">
        <v>111</v>
      </c>
    </row>
    <row r="15" spans="1:18" s="2" customFormat="1" ht="31.2" x14ac:dyDescent="0.3">
      <c r="A15" s="72">
        <v>2</v>
      </c>
      <c r="B15" s="8" t="s">
        <v>112</v>
      </c>
      <c r="C15" s="72" t="s">
        <v>122</v>
      </c>
      <c r="D15" s="72" t="s">
        <v>398</v>
      </c>
      <c r="E15" s="7" t="s">
        <v>21</v>
      </c>
      <c r="F15" s="10" t="s">
        <v>50</v>
      </c>
      <c r="G15" s="10" t="s">
        <v>113</v>
      </c>
      <c r="H15" s="7">
        <v>938414414</v>
      </c>
      <c r="I15" s="105" t="s">
        <v>114</v>
      </c>
      <c r="J15" s="105" t="s">
        <v>115</v>
      </c>
      <c r="K15" s="105"/>
      <c r="L15" s="114">
        <v>37402</v>
      </c>
      <c r="M15" s="114">
        <v>253865</v>
      </c>
      <c r="N15" s="115" t="s">
        <v>116</v>
      </c>
      <c r="O15" s="115">
        <v>17.8</v>
      </c>
      <c r="P15" s="116">
        <v>172</v>
      </c>
      <c r="Q15" s="139"/>
      <c r="R15" s="117" t="s">
        <v>124</v>
      </c>
    </row>
    <row r="16" spans="1:18" s="2" customFormat="1" ht="31.2" x14ac:dyDescent="0.3">
      <c r="A16" s="73"/>
      <c r="B16" s="8" t="s">
        <v>117</v>
      </c>
      <c r="C16" s="73"/>
      <c r="D16" s="73"/>
      <c r="E16" s="7" t="s">
        <v>21</v>
      </c>
      <c r="F16" s="10" t="s">
        <v>118</v>
      </c>
      <c r="G16" s="10" t="s">
        <v>119</v>
      </c>
      <c r="H16" s="7">
        <v>911549693</v>
      </c>
      <c r="I16" s="105" t="s">
        <v>120</v>
      </c>
      <c r="J16" s="105" t="s">
        <v>121</v>
      </c>
      <c r="K16" s="105"/>
      <c r="L16" s="118"/>
      <c r="M16" s="118"/>
      <c r="N16" s="119"/>
      <c r="O16" s="119"/>
      <c r="P16" s="120"/>
      <c r="Q16" s="140"/>
      <c r="R16" s="55" t="s">
        <v>123</v>
      </c>
    </row>
    <row r="17" spans="1:18" s="2" customFormat="1" ht="46.8" x14ac:dyDescent="0.3">
      <c r="A17" s="6">
        <v>3</v>
      </c>
      <c r="B17" s="8" t="s">
        <v>126</v>
      </c>
      <c r="C17" s="8" t="s">
        <v>127</v>
      </c>
      <c r="D17" s="7" t="s">
        <v>398</v>
      </c>
      <c r="E17" s="8" t="s">
        <v>128</v>
      </c>
      <c r="F17" s="8" t="s">
        <v>50</v>
      </c>
      <c r="G17" s="8" t="s">
        <v>129</v>
      </c>
      <c r="H17" s="7">
        <v>916841641</v>
      </c>
      <c r="I17" s="8" t="s">
        <v>130</v>
      </c>
      <c r="J17" s="8" t="s">
        <v>131</v>
      </c>
      <c r="K17" s="8"/>
      <c r="L17" s="60">
        <v>15253</v>
      </c>
      <c r="M17" s="60">
        <v>387285</v>
      </c>
      <c r="N17" s="8" t="s">
        <v>132</v>
      </c>
      <c r="O17" s="8">
        <v>18</v>
      </c>
      <c r="P17" s="99">
        <v>91</v>
      </c>
      <c r="Q17" s="99"/>
      <c r="R17" s="8" t="s">
        <v>133</v>
      </c>
    </row>
    <row r="18" spans="1:18" s="2" customFormat="1" ht="78" x14ac:dyDescent="0.3">
      <c r="A18" s="6">
        <v>4</v>
      </c>
      <c r="B18" s="8" t="s">
        <v>134</v>
      </c>
      <c r="C18" s="8" t="s">
        <v>135</v>
      </c>
      <c r="D18" s="7" t="s">
        <v>398</v>
      </c>
      <c r="E18" s="8" t="s">
        <v>41</v>
      </c>
      <c r="F18" s="8" t="s">
        <v>50</v>
      </c>
      <c r="G18" s="8" t="s">
        <v>136</v>
      </c>
      <c r="H18" s="7">
        <v>931547015</v>
      </c>
      <c r="I18" s="8" t="s">
        <v>137</v>
      </c>
      <c r="J18" s="8">
        <v>931547015</v>
      </c>
      <c r="K18" s="8"/>
      <c r="L18" s="60">
        <v>31875</v>
      </c>
      <c r="M18" s="60">
        <v>401412</v>
      </c>
      <c r="N18" s="8" t="s">
        <v>139</v>
      </c>
      <c r="O18" s="8">
        <v>17.7</v>
      </c>
      <c r="P18" s="99">
        <v>125</v>
      </c>
      <c r="Q18" s="99"/>
      <c r="R18" s="8" t="s">
        <v>138</v>
      </c>
    </row>
    <row r="19" spans="1:18" s="2" customFormat="1" ht="31.2" x14ac:dyDescent="0.3">
      <c r="A19" s="77">
        <v>5</v>
      </c>
      <c r="B19" s="8" t="s">
        <v>140</v>
      </c>
      <c r="C19" s="72" t="s">
        <v>141</v>
      </c>
      <c r="D19" s="72" t="s">
        <v>398</v>
      </c>
      <c r="E19" s="7" t="s">
        <v>142</v>
      </c>
      <c r="F19" s="10" t="s">
        <v>58</v>
      </c>
      <c r="G19" s="10" t="s">
        <v>143</v>
      </c>
      <c r="H19" s="7">
        <v>928872966</v>
      </c>
      <c r="I19" s="8" t="s">
        <v>144</v>
      </c>
      <c r="J19" s="8" t="s">
        <v>145</v>
      </c>
      <c r="K19" s="74" t="s">
        <v>146</v>
      </c>
      <c r="L19" s="74">
        <v>17846</v>
      </c>
      <c r="M19" s="74">
        <v>498033</v>
      </c>
      <c r="N19" s="72" t="s">
        <v>147</v>
      </c>
      <c r="O19" s="72">
        <v>20.100000000000001</v>
      </c>
      <c r="P19" s="95">
        <v>192</v>
      </c>
      <c r="Q19" s="136"/>
      <c r="R19" s="8" t="s">
        <v>148</v>
      </c>
    </row>
    <row r="20" spans="1:18" s="2" customFormat="1" ht="46.8" x14ac:dyDescent="0.3">
      <c r="A20" s="78"/>
      <c r="B20" s="8" t="s">
        <v>149</v>
      </c>
      <c r="C20" s="73"/>
      <c r="D20" s="73"/>
      <c r="E20" s="7" t="s">
        <v>142</v>
      </c>
      <c r="F20" s="10" t="s">
        <v>150</v>
      </c>
      <c r="G20" s="10" t="s">
        <v>151</v>
      </c>
      <c r="H20" s="7">
        <v>912477313</v>
      </c>
      <c r="I20" s="8" t="s">
        <v>152</v>
      </c>
      <c r="J20" s="8" t="s">
        <v>153</v>
      </c>
      <c r="K20" s="75"/>
      <c r="L20" s="75"/>
      <c r="M20" s="75"/>
      <c r="N20" s="73"/>
      <c r="O20" s="73"/>
      <c r="P20" s="97"/>
      <c r="Q20" s="138"/>
      <c r="R20" s="55" t="s">
        <v>154</v>
      </c>
    </row>
    <row r="21" spans="1:18" s="2" customFormat="1" ht="31.2" x14ac:dyDescent="0.3">
      <c r="A21" s="77">
        <v>6</v>
      </c>
      <c r="B21" s="8" t="s">
        <v>155</v>
      </c>
      <c r="C21" s="72" t="s">
        <v>156</v>
      </c>
      <c r="D21" s="72" t="s">
        <v>398</v>
      </c>
      <c r="E21" s="7" t="s">
        <v>28</v>
      </c>
      <c r="F21" s="10" t="s">
        <v>157</v>
      </c>
      <c r="G21" s="10" t="s">
        <v>158</v>
      </c>
      <c r="H21" s="7">
        <v>930064098</v>
      </c>
      <c r="I21" s="8" t="s">
        <v>159</v>
      </c>
      <c r="J21" s="8" t="s">
        <v>160</v>
      </c>
      <c r="K21" s="72" t="s">
        <v>161</v>
      </c>
      <c r="L21" s="74">
        <v>35964</v>
      </c>
      <c r="M21" s="74">
        <v>271693</v>
      </c>
      <c r="N21" s="72" t="s">
        <v>162</v>
      </c>
      <c r="O21" s="72">
        <v>15.35</v>
      </c>
      <c r="P21" s="95">
        <v>202</v>
      </c>
      <c r="Q21" s="136"/>
      <c r="R21" s="8" t="s">
        <v>163</v>
      </c>
    </row>
    <row r="22" spans="1:18" s="2" customFormat="1" ht="31.2" x14ac:dyDescent="0.3">
      <c r="A22" s="78"/>
      <c r="B22" s="8" t="s">
        <v>164</v>
      </c>
      <c r="C22" s="73"/>
      <c r="D22" s="73"/>
      <c r="E22" s="7" t="s">
        <v>28</v>
      </c>
      <c r="F22" s="10" t="s">
        <v>157</v>
      </c>
      <c r="G22" s="10" t="s">
        <v>165</v>
      </c>
      <c r="H22" s="7">
        <v>921508473</v>
      </c>
      <c r="I22" s="121" t="s">
        <v>166</v>
      </c>
      <c r="J22" s="121" t="s">
        <v>168</v>
      </c>
      <c r="K22" s="73"/>
      <c r="L22" s="75"/>
      <c r="M22" s="75"/>
      <c r="N22" s="73"/>
      <c r="O22" s="73"/>
      <c r="P22" s="97"/>
      <c r="Q22" s="138"/>
      <c r="R22" s="55" t="s">
        <v>167</v>
      </c>
    </row>
    <row r="23" spans="1:18" s="2" customFormat="1" ht="62.4" x14ac:dyDescent="0.3">
      <c r="A23" s="59">
        <v>7</v>
      </c>
      <c r="B23" s="8" t="s">
        <v>169</v>
      </c>
      <c r="C23" s="10" t="s">
        <v>170</v>
      </c>
      <c r="D23" s="7" t="s">
        <v>398</v>
      </c>
      <c r="E23" s="7" t="s">
        <v>41</v>
      </c>
      <c r="F23" s="10" t="s">
        <v>171</v>
      </c>
      <c r="G23" s="10" t="s">
        <v>172</v>
      </c>
      <c r="H23" s="7">
        <v>913844935</v>
      </c>
      <c r="I23" s="105" t="s">
        <v>173</v>
      </c>
      <c r="J23" s="105" t="s">
        <v>174</v>
      </c>
      <c r="K23" s="105" t="s">
        <v>175</v>
      </c>
      <c r="L23" s="106">
        <v>38223</v>
      </c>
      <c r="M23" s="106">
        <v>226586</v>
      </c>
      <c r="N23" s="105" t="s">
        <v>176</v>
      </c>
      <c r="O23" s="105">
        <v>18</v>
      </c>
      <c r="P23" s="113">
        <v>180</v>
      </c>
      <c r="Q23" s="113"/>
      <c r="R23" s="105" t="s">
        <v>177</v>
      </c>
    </row>
    <row r="24" spans="1:18" s="2" customFormat="1" ht="46.8" x14ac:dyDescent="0.3">
      <c r="A24" s="72">
        <v>8</v>
      </c>
      <c r="B24" s="8" t="s">
        <v>178</v>
      </c>
      <c r="C24" s="72" t="s">
        <v>179</v>
      </c>
      <c r="D24" s="72" t="s">
        <v>398</v>
      </c>
      <c r="E24" s="7" t="s">
        <v>41</v>
      </c>
      <c r="F24" s="10" t="s">
        <v>180</v>
      </c>
      <c r="G24" s="10" t="s">
        <v>181</v>
      </c>
      <c r="H24" s="7">
        <v>911801971</v>
      </c>
      <c r="I24" s="8" t="s">
        <v>182</v>
      </c>
      <c r="J24" s="8"/>
      <c r="K24" s="8"/>
      <c r="L24" s="74">
        <v>24129</v>
      </c>
      <c r="M24" s="74">
        <v>149955</v>
      </c>
      <c r="N24" s="72" t="s">
        <v>183</v>
      </c>
      <c r="O24" s="72">
        <v>14</v>
      </c>
      <c r="P24" s="95">
        <v>103</v>
      </c>
      <c r="Q24" s="136"/>
      <c r="R24" s="8" t="s">
        <v>184</v>
      </c>
    </row>
    <row r="25" spans="1:18" s="2" customFormat="1" ht="31.2" x14ac:dyDescent="0.3">
      <c r="A25" s="73"/>
      <c r="B25" s="8" t="s">
        <v>185</v>
      </c>
      <c r="C25" s="73"/>
      <c r="D25" s="73"/>
      <c r="E25" s="7" t="s">
        <v>41</v>
      </c>
      <c r="F25" s="10" t="s">
        <v>186</v>
      </c>
      <c r="G25" s="10" t="s">
        <v>187</v>
      </c>
      <c r="H25" s="7">
        <v>912813091</v>
      </c>
      <c r="I25" s="8" t="s">
        <v>188</v>
      </c>
      <c r="J25" s="8"/>
      <c r="K25" s="8"/>
      <c r="L25" s="75"/>
      <c r="M25" s="75"/>
      <c r="N25" s="73"/>
      <c r="O25" s="73"/>
      <c r="P25" s="97"/>
      <c r="Q25" s="138"/>
      <c r="R25" s="55" t="s">
        <v>189</v>
      </c>
    </row>
    <row r="26" spans="1:18" s="57" customFormat="1" ht="31.2" x14ac:dyDescent="0.3">
      <c r="A26" s="72">
        <v>9</v>
      </c>
      <c r="B26" s="10" t="s">
        <v>27</v>
      </c>
      <c r="C26" s="72" t="s">
        <v>38</v>
      </c>
      <c r="D26" s="72" t="s">
        <v>398</v>
      </c>
      <c r="E26" s="7" t="s">
        <v>28</v>
      </c>
      <c r="F26" s="10" t="s">
        <v>29</v>
      </c>
      <c r="G26" s="10" t="s">
        <v>30</v>
      </c>
      <c r="H26" s="17" t="s">
        <v>31</v>
      </c>
      <c r="I26" s="105" t="s">
        <v>32</v>
      </c>
      <c r="J26" s="105" t="s">
        <v>33</v>
      </c>
      <c r="K26" s="115" t="s">
        <v>102</v>
      </c>
      <c r="L26" s="114">
        <v>28909</v>
      </c>
      <c r="M26" s="114">
        <v>208415</v>
      </c>
      <c r="N26" s="115" t="s">
        <v>103</v>
      </c>
      <c r="O26" s="114">
        <v>18</v>
      </c>
      <c r="P26" s="122">
        <v>122</v>
      </c>
      <c r="Q26" s="141"/>
      <c r="R26" s="115" t="s">
        <v>104</v>
      </c>
    </row>
    <row r="27" spans="1:18" s="57" customFormat="1" ht="31.2" x14ac:dyDescent="0.3">
      <c r="A27" s="73"/>
      <c r="B27" s="8" t="s">
        <v>34</v>
      </c>
      <c r="C27" s="73"/>
      <c r="D27" s="73"/>
      <c r="E27" s="7" t="s">
        <v>28</v>
      </c>
      <c r="F27" s="10" t="s">
        <v>29</v>
      </c>
      <c r="G27" s="10" t="s">
        <v>35</v>
      </c>
      <c r="H27" s="48">
        <v>251917432830</v>
      </c>
      <c r="I27" s="105" t="s">
        <v>36</v>
      </c>
      <c r="J27" s="105" t="s">
        <v>37</v>
      </c>
      <c r="K27" s="119"/>
      <c r="L27" s="118"/>
      <c r="M27" s="118"/>
      <c r="N27" s="119"/>
      <c r="O27" s="118"/>
      <c r="P27" s="123"/>
      <c r="Q27" s="126"/>
      <c r="R27" s="119"/>
    </row>
    <row r="28" spans="1:18" s="57" customFormat="1" ht="78" x14ac:dyDescent="0.3">
      <c r="A28" s="6">
        <v>10</v>
      </c>
      <c r="B28" s="8" t="s">
        <v>190</v>
      </c>
      <c r="C28" s="41" t="s">
        <v>191</v>
      </c>
      <c r="D28" s="7" t="s">
        <v>398</v>
      </c>
      <c r="E28" s="7" t="s">
        <v>41</v>
      </c>
      <c r="F28" s="10" t="s">
        <v>180</v>
      </c>
      <c r="G28" s="10" t="s">
        <v>23</v>
      </c>
      <c r="H28" s="48">
        <v>913170449</v>
      </c>
      <c r="I28" s="105" t="s">
        <v>192</v>
      </c>
      <c r="J28" s="105"/>
      <c r="K28" s="124"/>
      <c r="L28" s="125">
        <v>31931</v>
      </c>
      <c r="M28" s="125">
        <v>330302</v>
      </c>
      <c r="N28" s="124" t="s">
        <v>193</v>
      </c>
      <c r="O28" s="125">
        <v>21</v>
      </c>
      <c r="P28" s="126">
        <v>146</v>
      </c>
      <c r="Q28" s="126"/>
      <c r="R28" s="124" t="s">
        <v>194</v>
      </c>
    </row>
    <row r="29" spans="1:18" s="57" customFormat="1" ht="46.8" x14ac:dyDescent="0.3">
      <c r="A29" s="72">
        <v>11</v>
      </c>
      <c r="B29" s="8" t="s">
        <v>195</v>
      </c>
      <c r="C29" s="72" t="s">
        <v>196</v>
      </c>
      <c r="D29" s="72" t="s">
        <v>398</v>
      </c>
      <c r="E29" s="7" t="s">
        <v>197</v>
      </c>
      <c r="F29" s="10" t="s">
        <v>198</v>
      </c>
      <c r="G29" s="10" t="s">
        <v>199</v>
      </c>
      <c r="H29" s="48" t="s">
        <v>200</v>
      </c>
      <c r="I29" s="105" t="s">
        <v>201</v>
      </c>
      <c r="J29" s="105" t="s">
        <v>202</v>
      </c>
      <c r="K29" s="115" t="s">
        <v>203</v>
      </c>
      <c r="L29" s="114">
        <v>48447</v>
      </c>
      <c r="M29" s="114">
        <v>558567</v>
      </c>
      <c r="N29" s="115" t="s">
        <v>204</v>
      </c>
      <c r="O29" s="114">
        <v>24</v>
      </c>
      <c r="P29" s="122">
        <v>242</v>
      </c>
      <c r="Q29" s="142"/>
      <c r="R29" s="124" t="s">
        <v>205</v>
      </c>
    </row>
    <row r="30" spans="1:18" s="57" customFormat="1" ht="31.2" x14ac:dyDescent="0.3">
      <c r="A30" s="73"/>
      <c r="B30" s="8" t="s">
        <v>206</v>
      </c>
      <c r="C30" s="73"/>
      <c r="D30" s="73"/>
      <c r="E30" s="7" t="s">
        <v>197</v>
      </c>
      <c r="F30" s="10" t="s">
        <v>94</v>
      </c>
      <c r="G30" s="10" t="s">
        <v>207</v>
      </c>
      <c r="H30" s="48" t="s">
        <v>208</v>
      </c>
      <c r="I30" s="105" t="s">
        <v>209</v>
      </c>
      <c r="J30" s="105" t="s">
        <v>210</v>
      </c>
      <c r="K30" s="119"/>
      <c r="L30" s="118"/>
      <c r="M30" s="118"/>
      <c r="N30" s="119"/>
      <c r="O30" s="118"/>
      <c r="P30" s="123"/>
      <c r="Q30" s="126"/>
      <c r="R30" s="55" t="s">
        <v>211</v>
      </c>
    </row>
    <row r="31" spans="1:18" s="57" customFormat="1" ht="31.2" x14ac:dyDescent="0.3">
      <c r="A31" s="72">
        <v>12</v>
      </c>
      <c r="B31" s="8" t="s">
        <v>221</v>
      </c>
      <c r="C31" s="72" t="s">
        <v>212</v>
      </c>
      <c r="D31" s="72" t="s">
        <v>398</v>
      </c>
      <c r="E31" s="7" t="s">
        <v>41</v>
      </c>
      <c r="F31" s="10" t="s">
        <v>180</v>
      </c>
      <c r="G31" s="10" t="s">
        <v>213</v>
      </c>
      <c r="H31" s="48">
        <v>911892087</v>
      </c>
      <c r="I31" s="56" t="s">
        <v>214</v>
      </c>
      <c r="J31" s="56" t="s">
        <v>215</v>
      </c>
      <c r="K31" s="127"/>
      <c r="L31" s="114">
        <v>25502</v>
      </c>
      <c r="M31" s="114">
        <v>152760</v>
      </c>
      <c r="N31" s="115" t="s">
        <v>216</v>
      </c>
      <c r="O31" s="114">
        <v>15.7</v>
      </c>
      <c r="P31" s="122">
        <v>83</v>
      </c>
      <c r="Q31" s="142"/>
      <c r="R31" s="124" t="s">
        <v>217</v>
      </c>
    </row>
    <row r="32" spans="1:18" s="57" customFormat="1" ht="46.8" x14ac:dyDescent="0.3">
      <c r="A32" s="73"/>
      <c r="B32" s="8" t="s">
        <v>222</v>
      </c>
      <c r="C32" s="73"/>
      <c r="D32" s="73"/>
      <c r="E32" s="7" t="s">
        <v>41</v>
      </c>
      <c r="F32" s="10" t="s">
        <v>50</v>
      </c>
      <c r="G32" s="10" t="s">
        <v>218</v>
      </c>
      <c r="H32" s="48">
        <v>913041992</v>
      </c>
      <c r="I32" s="56" t="s">
        <v>219</v>
      </c>
      <c r="J32" s="56" t="s">
        <v>220</v>
      </c>
      <c r="K32" s="127"/>
      <c r="L32" s="118"/>
      <c r="M32" s="118"/>
      <c r="N32" s="119"/>
      <c r="O32" s="118"/>
      <c r="P32" s="123"/>
      <c r="Q32" s="126"/>
      <c r="R32" s="55" t="s">
        <v>223</v>
      </c>
    </row>
    <row r="33" spans="1:19" ht="19.2" x14ac:dyDescent="0.3">
      <c r="A33" s="27"/>
      <c r="B33" s="24" t="s">
        <v>7</v>
      </c>
      <c r="C33" s="31"/>
      <c r="D33" s="27"/>
      <c r="E33" s="28"/>
      <c r="F33" s="29"/>
      <c r="G33" s="29"/>
      <c r="H33" s="30"/>
      <c r="I33" s="35"/>
      <c r="J33" s="35"/>
      <c r="K33" s="35"/>
      <c r="L33" s="35"/>
      <c r="M33" s="35"/>
      <c r="N33" s="35"/>
      <c r="O33" s="35"/>
      <c r="P33" s="100"/>
      <c r="Q33" s="100"/>
      <c r="R33" s="35"/>
    </row>
    <row r="34" spans="1:19" ht="37.200000000000003" customHeight="1" x14ac:dyDescent="0.3">
      <c r="A34" s="3">
        <v>1</v>
      </c>
      <c r="B34" s="61" t="s">
        <v>225</v>
      </c>
      <c r="C34" s="62" t="s">
        <v>226</v>
      </c>
      <c r="D34" s="7" t="s">
        <v>399</v>
      </c>
      <c r="E34" s="61" t="s">
        <v>227</v>
      </c>
      <c r="F34" s="64" t="s">
        <v>228</v>
      </c>
      <c r="G34" s="64" t="s">
        <v>229</v>
      </c>
      <c r="H34" s="9" t="s">
        <v>230</v>
      </c>
      <c r="I34" s="128" t="s">
        <v>231</v>
      </c>
      <c r="J34" s="128" t="s">
        <v>232</v>
      </c>
      <c r="K34" s="128" t="s">
        <v>233</v>
      </c>
      <c r="L34" s="128">
        <v>12826</v>
      </c>
      <c r="M34" s="128">
        <v>170136</v>
      </c>
      <c r="N34" s="128" t="s">
        <v>234</v>
      </c>
      <c r="O34" s="128">
        <v>18</v>
      </c>
      <c r="P34" s="129">
        <v>73</v>
      </c>
      <c r="Q34" s="129"/>
      <c r="R34" s="106" t="s">
        <v>235</v>
      </c>
    </row>
    <row r="35" spans="1:19" ht="46.8" x14ac:dyDescent="0.3">
      <c r="A35" s="3">
        <v>2</v>
      </c>
      <c r="B35" s="61" t="s">
        <v>236</v>
      </c>
      <c r="C35" s="62" t="s">
        <v>237</v>
      </c>
      <c r="D35" s="7" t="s">
        <v>399</v>
      </c>
      <c r="E35" s="61" t="s">
        <v>41</v>
      </c>
      <c r="F35" s="64" t="s">
        <v>238</v>
      </c>
      <c r="G35" s="62" t="s">
        <v>23</v>
      </c>
      <c r="H35" s="9">
        <v>917821685</v>
      </c>
      <c r="I35" s="106" t="s">
        <v>239</v>
      </c>
      <c r="J35" s="65" t="s">
        <v>240</v>
      </c>
      <c r="K35" s="65"/>
      <c r="L35" s="66">
        <v>12616</v>
      </c>
      <c r="M35" s="66">
        <v>98748</v>
      </c>
      <c r="N35" s="67" t="s">
        <v>241</v>
      </c>
      <c r="O35" s="66">
        <v>20</v>
      </c>
      <c r="P35" s="101">
        <v>22</v>
      </c>
      <c r="Q35" s="101"/>
      <c r="R35" s="67" t="s">
        <v>242</v>
      </c>
    </row>
    <row r="36" spans="1:19" ht="46.8" x14ac:dyDescent="0.3">
      <c r="A36" s="3">
        <v>3</v>
      </c>
      <c r="B36" s="43" t="s">
        <v>243</v>
      </c>
      <c r="C36" s="13" t="s">
        <v>244</v>
      </c>
      <c r="D36" s="7" t="s">
        <v>399</v>
      </c>
      <c r="E36" s="43" t="s">
        <v>41</v>
      </c>
      <c r="F36" s="13" t="s">
        <v>50</v>
      </c>
      <c r="G36" s="13" t="s">
        <v>245</v>
      </c>
      <c r="H36" s="68">
        <v>251933240085</v>
      </c>
      <c r="I36" s="105" t="s">
        <v>246</v>
      </c>
      <c r="J36" s="105" t="s">
        <v>247</v>
      </c>
      <c r="K36" s="105"/>
      <c r="L36" s="105">
        <v>6384</v>
      </c>
      <c r="M36" s="105">
        <v>57000</v>
      </c>
      <c r="N36" s="105" t="s">
        <v>248</v>
      </c>
      <c r="O36" s="105">
        <v>12</v>
      </c>
      <c r="P36" s="113">
        <v>17</v>
      </c>
      <c r="Q36" s="113"/>
      <c r="R36" s="105" t="s">
        <v>396</v>
      </c>
      <c r="S36" s="1" t="s">
        <v>249</v>
      </c>
    </row>
    <row r="37" spans="1:19" ht="46.8" x14ac:dyDescent="0.3">
      <c r="A37" s="3">
        <v>4</v>
      </c>
      <c r="B37" s="69" t="s">
        <v>250</v>
      </c>
      <c r="C37" s="62" t="s">
        <v>256</v>
      </c>
      <c r="D37" s="7" t="s">
        <v>399</v>
      </c>
      <c r="E37" s="63" t="s">
        <v>251</v>
      </c>
      <c r="F37" s="62" t="s">
        <v>50</v>
      </c>
      <c r="G37" s="62" t="s">
        <v>252</v>
      </c>
      <c r="H37" s="9">
        <v>911036498</v>
      </c>
      <c r="I37" s="60" t="s">
        <v>253</v>
      </c>
      <c r="J37" s="60" t="s">
        <v>254</v>
      </c>
      <c r="K37" s="60">
        <v>0</v>
      </c>
      <c r="L37" s="60">
        <v>10301</v>
      </c>
      <c r="M37" s="60">
        <v>120038</v>
      </c>
      <c r="N37" s="60">
        <v>3</v>
      </c>
      <c r="O37" s="60">
        <v>38.32</v>
      </c>
      <c r="P37" s="17">
        <v>44</v>
      </c>
      <c r="Q37" s="17"/>
      <c r="R37" s="60" t="s">
        <v>255</v>
      </c>
    </row>
    <row r="38" spans="1:19" ht="46.8" x14ac:dyDescent="0.3">
      <c r="A38" s="3">
        <v>5</v>
      </c>
      <c r="B38" s="69" t="s">
        <v>257</v>
      </c>
      <c r="C38" s="62" t="s">
        <v>258</v>
      </c>
      <c r="D38" s="7" t="s">
        <v>399</v>
      </c>
      <c r="E38" s="63" t="s">
        <v>41</v>
      </c>
      <c r="F38" s="62" t="s">
        <v>259</v>
      </c>
      <c r="G38" s="62" t="s">
        <v>260</v>
      </c>
      <c r="H38" s="9">
        <v>909484615</v>
      </c>
      <c r="I38" s="106" t="s">
        <v>261</v>
      </c>
      <c r="J38" s="106" t="s">
        <v>262</v>
      </c>
      <c r="K38" s="106" t="s">
        <v>233</v>
      </c>
      <c r="L38" s="106">
        <v>6486</v>
      </c>
      <c r="M38" s="106">
        <v>106022</v>
      </c>
      <c r="N38" s="106" t="s">
        <v>263</v>
      </c>
      <c r="O38" s="106">
        <v>21</v>
      </c>
      <c r="P38" s="130">
        <v>71</v>
      </c>
      <c r="Q38" s="130"/>
      <c r="R38" s="106" t="s">
        <v>264</v>
      </c>
    </row>
    <row r="39" spans="1:19" ht="46.8" x14ac:dyDescent="0.3">
      <c r="A39" s="3">
        <v>6</v>
      </c>
      <c r="B39" s="43" t="s">
        <v>265</v>
      </c>
      <c r="C39" s="13" t="s">
        <v>266</v>
      </c>
      <c r="D39" s="7" t="s">
        <v>399</v>
      </c>
      <c r="E39" s="3" t="s">
        <v>21</v>
      </c>
      <c r="F39" s="13" t="s">
        <v>267</v>
      </c>
      <c r="G39" s="13" t="s">
        <v>268</v>
      </c>
      <c r="H39" s="7" t="s">
        <v>401</v>
      </c>
      <c r="I39" s="8" t="s">
        <v>269</v>
      </c>
      <c r="J39" s="8" t="s">
        <v>270</v>
      </c>
      <c r="K39" s="8"/>
      <c r="L39" s="8">
        <v>15965</v>
      </c>
      <c r="M39" s="8">
        <v>186379</v>
      </c>
      <c r="N39" s="8" t="s">
        <v>271</v>
      </c>
      <c r="O39" s="8">
        <v>16</v>
      </c>
      <c r="P39" s="99">
        <v>127</v>
      </c>
      <c r="Q39" s="99"/>
      <c r="R39" s="8" t="s">
        <v>272</v>
      </c>
    </row>
    <row r="40" spans="1:19" ht="31.2" x14ac:dyDescent="0.3">
      <c r="A40" s="3">
        <v>7</v>
      </c>
      <c r="B40" s="70" t="s">
        <v>273</v>
      </c>
      <c r="C40" s="13" t="s">
        <v>280</v>
      </c>
      <c r="D40" s="7" t="s">
        <v>399</v>
      </c>
      <c r="E40" s="3" t="s">
        <v>41</v>
      </c>
      <c r="F40" s="13" t="s">
        <v>274</v>
      </c>
      <c r="G40" s="13" t="s">
        <v>275</v>
      </c>
      <c r="H40" s="7">
        <v>912827109</v>
      </c>
      <c r="I40" s="8" t="s">
        <v>276</v>
      </c>
      <c r="J40" s="8" t="s">
        <v>277</v>
      </c>
      <c r="K40" s="8"/>
      <c r="L40" s="8">
        <v>6234</v>
      </c>
      <c r="M40" s="8">
        <v>214764</v>
      </c>
      <c r="N40" s="8" t="s">
        <v>278</v>
      </c>
      <c r="O40" s="8">
        <v>14</v>
      </c>
      <c r="P40" s="99">
        <v>27</v>
      </c>
      <c r="Q40" s="99"/>
      <c r="R40" s="8" t="s">
        <v>279</v>
      </c>
    </row>
    <row r="41" spans="1:19" ht="62.4" x14ac:dyDescent="0.3">
      <c r="A41" s="3">
        <v>8</v>
      </c>
      <c r="B41" s="43" t="s">
        <v>281</v>
      </c>
      <c r="C41" s="13" t="s">
        <v>282</v>
      </c>
      <c r="D41" s="7" t="s">
        <v>399</v>
      </c>
      <c r="E41" s="3" t="s">
        <v>41</v>
      </c>
      <c r="F41" s="13" t="s">
        <v>267</v>
      </c>
      <c r="G41" s="13" t="s">
        <v>158</v>
      </c>
      <c r="H41" s="7" t="s">
        <v>283</v>
      </c>
      <c r="I41" s="8" t="s">
        <v>284</v>
      </c>
      <c r="J41" s="8" t="s">
        <v>285</v>
      </c>
      <c r="K41" s="8"/>
      <c r="L41" s="8">
        <v>9714</v>
      </c>
      <c r="M41" s="8">
        <v>99878</v>
      </c>
      <c r="N41" s="8" t="s">
        <v>286</v>
      </c>
      <c r="O41" s="8">
        <v>37</v>
      </c>
      <c r="P41" s="99">
        <v>44</v>
      </c>
      <c r="Q41" s="99"/>
      <c r="R41" s="8" t="s">
        <v>287</v>
      </c>
    </row>
    <row r="42" spans="1:19" ht="93.6" x14ac:dyDescent="0.3">
      <c r="A42" s="3">
        <v>9</v>
      </c>
      <c r="B42" s="43" t="s">
        <v>288</v>
      </c>
      <c r="C42" s="13" t="s">
        <v>294</v>
      </c>
      <c r="D42" s="7" t="s">
        <v>399</v>
      </c>
      <c r="E42" s="3" t="s">
        <v>41</v>
      </c>
      <c r="F42" s="13" t="s">
        <v>42</v>
      </c>
      <c r="G42" s="13" t="s">
        <v>289</v>
      </c>
      <c r="H42" s="7">
        <v>947196464</v>
      </c>
      <c r="I42" s="8" t="s">
        <v>290</v>
      </c>
      <c r="J42" s="8" t="s">
        <v>291</v>
      </c>
      <c r="K42" s="8"/>
      <c r="L42" s="8">
        <v>23121</v>
      </c>
      <c r="M42" s="8">
        <v>187355</v>
      </c>
      <c r="N42" s="8" t="s">
        <v>292</v>
      </c>
      <c r="O42" s="8">
        <v>23.65</v>
      </c>
      <c r="P42" s="99">
        <v>102</v>
      </c>
      <c r="Q42" s="99"/>
      <c r="R42" s="8" t="s">
        <v>293</v>
      </c>
    </row>
    <row r="43" spans="1:19" ht="46.8" x14ac:dyDescent="0.3">
      <c r="A43" s="3">
        <v>10</v>
      </c>
      <c r="B43" s="43" t="s">
        <v>295</v>
      </c>
      <c r="C43" s="13" t="s">
        <v>296</v>
      </c>
      <c r="D43" s="7" t="s">
        <v>399</v>
      </c>
      <c r="E43" s="3" t="s">
        <v>41</v>
      </c>
      <c r="F43" s="13" t="s">
        <v>297</v>
      </c>
      <c r="G43" s="13" t="s">
        <v>298</v>
      </c>
      <c r="H43" s="7">
        <v>944090109</v>
      </c>
      <c r="I43" s="8" t="s">
        <v>299</v>
      </c>
      <c r="J43" s="8" t="s">
        <v>300</v>
      </c>
      <c r="K43" s="8"/>
      <c r="L43" s="8">
        <v>6230</v>
      </c>
      <c r="M43" s="8">
        <v>63780</v>
      </c>
      <c r="N43" s="8" t="s">
        <v>301</v>
      </c>
      <c r="O43" s="8">
        <v>19</v>
      </c>
      <c r="P43" s="99">
        <v>40</v>
      </c>
      <c r="Q43" s="99"/>
      <c r="R43" s="8" t="s">
        <v>302</v>
      </c>
    </row>
    <row r="44" spans="1:19" ht="46.8" x14ac:dyDescent="0.3">
      <c r="A44" s="3">
        <v>11</v>
      </c>
      <c r="B44" s="43" t="s">
        <v>303</v>
      </c>
      <c r="C44" s="13" t="s">
        <v>304</v>
      </c>
      <c r="D44" s="7" t="s">
        <v>399</v>
      </c>
      <c r="E44" s="3" t="s">
        <v>41</v>
      </c>
      <c r="F44" s="13" t="s">
        <v>305</v>
      </c>
      <c r="G44" s="13" t="s">
        <v>306</v>
      </c>
      <c r="H44" s="7" t="s">
        <v>307</v>
      </c>
      <c r="I44" s="8" t="s">
        <v>308</v>
      </c>
      <c r="J44" s="8">
        <v>917227511</v>
      </c>
      <c r="K44" s="8"/>
      <c r="L44" s="8">
        <v>8265</v>
      </c>
      <c r="M44" s="8">
        <v>72650</v>
      </c>
      <c r="N44" s="8" t="s">
        <v>309</v>
      </c>
      <c r="O44" s="8">
        <v>22.5</v>
      </c>
      <c r="P44" s="99">
        <v>84</v>
      </c>
      <c r="Q44" s="99"/>
      <c r="R44" s="8" t="s">
        <v>310</v>
      </c>
    </row>
    <row r="45" spans="1:19" ht="62.4" x14ac:dyDescent="0.3">
      <c r="A45" s="3">
        <v>12</v>
      </c>
      <c r="B45" s="43" t="s">
        <v>311</v>
      </c>
      <c r="C45" s="13" t="s">
        <v>318</v>
      </c>
      <c r="D45" s="7" t="s">
        <v>399</v>
      </c>
      <c r="E45" s="3" t="s">
        <v>41</v>
      </c>
      <c r="F45" s="13" t="s">
        <v>42</v>
      </c>
      <c r="G45" s="13" t="s">
        <v>312</v>
      </c>
      <c r="H45" s="7" t="s">
        <v>313</v>
      </c>
      <c r="I45" s="8" t="s">
        <v>314</v>
      </c>
      <c r="J45" s="8" t="s">
        <v>315</v>
      </c>
      <c r="K45" s="8"/>
      <c r="L45" s="8">
        <v>2194</v>
      </c>
      <c r="M45" s="8">
        <v>235310</v>
      </c>
      <c r="N45" s="8" t="s">
        <v>316</v>
      </c>
      <c r="O45" s="8">
        <v>12.43</v>
      </c>
      <c r="P45" s="99">
        <v>49</v>
      </c>
      <c r="Q45" s="99"/>
      <c r="R45" s="8" t="s">
        <v>317</v>
      </c>
    </row>
    <row r="46" spans="1:19" ht="31.2" x14ac:dyDescent="0.3">
      <c r="A46" s="3">
        <v>13</v>
      </c>
      <c r="B46" s="43" t="s">
        <v>319</v>
      </c>
      <c r="C46" s="13" t="s">
        <v>320</v>
      </c>
      <c r="D46" s="7" t="s">
        <v>399</v>
      </c>
      <c r="E46" s="3" t="s">
        <v>41</v>
      </c>
      <c r="F46" s="13" t="s">
        <v>157</v>
      </c>
      <c r="G46" s="13" t="s">
        <v>321</v>
      </c>
      <c r="H46" s="7" t="s">
        <v>322</v>
      </c>
      <c r="I46" s="8" t="s">
        <v>323</v>
      </c>
      <c r="J46" s="8" t="s">
        <v>324</v>
      </c>
      <c r="K46" s="8" t="s">
        <v>325</v>
      </c>
      <c r="L46" s="8">
        <v>15205</v>
      </c>
      <c r="M46" s="8">
        <v>192005</v>
      </c>
      <c r="N46" s="8" t="s">
        <v>326</v>
      </c>
      <c r="O46" s="8">
        <v>31.63</v>
      </c>
      <c r="P46" s="99">
        <v>98</v>
      </c>
      <c r="Q46" s="99"/>
      <c r="R46" s="8" t="s">
        <v>327</v>
      </c>
    </row>
    <row r="47" spans="1:19" ht="31.2" x14ac:dyDescent="0.3">
      <c r="A47" s="3">
        <v>14</v>
      </c>
      <c r="B47" s="43" t="s">
        <v>328</v>
      </c>
      <c r="C47" s="13" t="s">
        <v>334</v>
      </c>
      <c r="D47" s="7" t="s">
        <v>399</v>
      </c>
      <c r="E47" s="3" t="s">
        <v>41</v>
      </c>
      <c r="F47" s="13" t="s">
        <v>329</v>
      </c>
      <c r="G47" s="13" t="s">
        <v>330</v>
      </c>
      <c r="H47" s="7">
        <v>920059890</v>
      </c>
      <c r="I47" s="8" t="s">
        <v>331</v>
      </c>
      <c r="J47" s="8" t="s">
        <v>332</v>
      </c>
      <c r="K47" s="8"/>
      <c r="L47" s="8">
        <v>18853</v>
      </c>
      <c r="M47" s="8">
        <v>134457</v>
      </c>
      <c r="N47" s="8" t="s">
        <v>333</v>
      </c>
      <c r="O47" s="8">
        <v>16</v>
      </c>
      <c r="P47" s="99">
        <v>127</v>
      </c>
      <c r="Q47" s="99"/>
      <c r="R47" s="8" t="s">
        <v>395</v>
      </c>
    </row>
    <row r="48" spans="1:19" ht="46.8" x14ac:dyDescent="0.3">
      <c r="A48" s="3">
        <v>15</v>
      </c>
      <c r="B48" s="4" t="s">
        <v>20</v>
      </c>
      <c r="C48" s="13" t="s">
        <v>224</v>
      </c>
      <c r="D48" s="7" t="s">
        <v>399</v>
      </c>
      <c r="E48" s="4" t="s">
        <v>21</v>
      </c>
      <c r="F48" s="11" t="s">
        <v>22</v>
      </c>
      <c r="G48" s="11" t="s">
        <v>23</v>
      </c>
      <c r="H48" s="7">
        <v>911774574</v>
      </c>
      <c r="I48" s="131" t="s">
        <v>24</v>
      </c>
      <c r="J48" s="131" t="s">
        <v>25</v>
      </c>
      <c r="K48" s="131"/>
      <c r="L48" s="131">
        <v>8834</v>
      </c>
      <c r="M48" s="131">
        <v>51298</v>
      </c>
      <c r="N48" s="131" t="s">
        <v>26</v>
      </c>
      <c r="O48" s="131">
        <v>19.78</v>
      </c>
      <c r="P48" s="132">
        <v>58</v>
      </c>
      <c r="Q48" s="132"/>
      <c r="R48" s="105" t="s">
        <v>47</v>
      </c>
    </row>
    <row r="49" spans="1:18" ht="46.8" x14ac:dyDescent="0.3">
      <c r="A49" s="3">
        <v>16</v>
      </c>
      <c r="B49" s="43" t="s">
        <v>335</v>
      </c>
      <c r="C49" s="13" t="s">
        <v>336</v>
      </c>
      <c r="D49" s="7" t="s">
        <v>399</v>
      </c>
      <c r="E49" s="3" t="s">
        <v>337</v>
      </c>
      <c r="F49" s="13" t="s">
        <v>338</v>
      </c>
      <c r="G49" s="13" t="s">
        <v>339</v>
      </c>
      <c r="H49" s="7">
        <v>910076921</v>
      </c>
      <c r="I49" s="8" t="s">
        <v>340</v>
      </c>
      <c r="J49" s="8" t="s">
        <v>341</v>
      </c>
      <c r="K49" s="8"/>
      <c r="L49" s="8">
        <v>6700</v>
      </c>
      <c r="M49" s="8">
        <v>224327</v>
      </c>
      <c r="N49" s="8" t="s">
        <v>343</v>
      </c>
      <c r="O49" s="8">
        <v>17</v>
      </c>
      <c r="P49" s="99">
        <v>61</v>
      </c>
      <c r="Q49" s="99"/>
      <c r="R49" s="8" t="s">
        <v>342</v>
      </c>
    </row>
    <row r="50" spans="1:18" ht="46.8" x14ac:dyDescent="0.3">
      <c r="A50" s="3">
        <v>17</v>
      </c>
      <c r="B50" s="43" t="s">
        <v>344</v>
      </c>
      <c r="C50" s="13" t="s">
        <v>351</v>
      </c>
      <c r="D50" s="7" t="s">
        <v>399</v>
      </c>
      <c r="E50" s="3" t="s">
        <v>345</v>
      </c>
      <c r="F50" s="13" t="s">
        <v>346</v>
      </c>
      <c r="G50" s="13" t="s">
        <v>347</v>
      </c>
      <c r="H50" s="7">
        <v>911882434</v>
      </c>
      <c r="I50" s="8" t="s">
        <v>348</v>
      </c>
      <c r="J50" s="8">
        <v>911882434</v>
      </c>
      <c r="K50" s="8"/>
      <c r="L50" s="8">
        <v>12054</v>
      </c>
      <c r="M50" s="8">
        <v>84665</v>
      </c>
      <c r="N50" s="8" t="s">
        <v>349</v>
      </c>
      <c r="O50" s="8">
        <v>21.46</v>
      </c>
      <c r="P50" s="99">
        <v>46</v>
      </c>
      <c r="Q50" s="99"/>
      <c r="R50" s="8" t="s">
        <v>350</v>
      </c>
    </row>
    <row r="51" spans="1:18" ht="46.8" x14ac:dyDescent="0.3">
      <c r="A51" s="3">
        <v>18</v>
      </c>
      <c r="B51" s="43" t="s">
        <v>352</v>
      </c>
      <c r="C51" s="44" t="s">
        <v>356</v>
      </c>
      <c r="D51" s="7" t="s">
        <v>399</v>
      </c>
      <c r="E51" s="3" t="s">
        <v>41</v>
      </c>
      <c r="F51" s="13" t="s">
        <v>50</v>
      </c>
      <c r="G51" s="13" t="s">
        <v>330</v>
      </c>
      <c r="H51" s="7">
        <v>936009151</v>
      </c>
      <c r="I51" s="8" t="s">
        <v>353</v>
      </c>
      <c r="J51" s="8" t="s">
        <v>354</v>
      </c>
      <c r="K51" s="8"/>
      <c r="L51" s="8">
        <v>12364</v>
      </c>
      <c r="M51" s="8">
        <v>106470</v>
      </c>
      <c r="N51" s="8" t="s">
        <v>355</v>
      </c>
      <c r="O51" s="8">
        <v>0.18</v>
      </c>
      <c r="P51" s="99">
        <v>72</v>
      </c>
      <c r="Q51" s="99"/>
      <c r="R51" s="8" t="s">
        <v>357</v>
      </c>
    </row>
    <row r="52" spans="1:18" ht="62.4" x14ac:dyDescent="0.3">
      <c r="A52" s="3">
        <v>19</v>
      </c>
      <c r="B52" s="4" t="s">
        <v>39</v>
      </c>
      <c r="C52" s="13" t="s">
        <v>40</v>
      </c>
      <c r="D52" s="7" t="s">
        <v>399</v>
      </c>
      <c r="E52" s="4" t="s">
        <v>41</v>
      </c>
      <c r="F52" s="11" t="s">
        <v>42</v>
      </c>
      <c r="G52" s="13" t="s">
        <v>43</v>
      </c>
      <c r="H52" s="7" t="s">
        <v>44</v>
      </c>
      <c r="I52" s="105" t="s">
        <v>45</v>
      </c>
      <c r="J52" s="49"/>
      <c r="K52" s="49"/>
      <c r="L52" s="50">
        <v>21964</v>
      </c>
      <c r="M52" s="50">
        <v>238907</v>
      </c>
      <c r="N52" s="51" t="s">
        <v>46</v>
      </c>
      <c r="O52" s="50">
        <v>19.8</v>
      </c>
      <c r="P52" s="102">
        <v>78</v>
      </c>
      <c r="Q52" s="102"/>
      <c r="R52" s="51" t="s">
        <v>358</v>
      </c>
    </row>
    <row r="53" spans="1:18" ht="62.4" x14ac:dyDescent="0.3">
      <c r="A53" s="3">
        <v>20</v>
      </c>
      <c r="B53" s="43" t="s">
        <v>359</v>
      </c>
      <c r="C53" s="44" t="s">
        <v>360</v>
      </c>
      <c r="D53" s="7" t="s">
        <v>399</v>
      </c>
      <c r="E53" s="3" t="s">
        <v>41</v>
      </c>
      <c r="F53" s="13" t="s">
        <v>274</v>
      </c>
      <c r="G53" s="13" t="s">
        <v>158</v>
      </c>
      <c r="H53" s="7">
        <v>913764274</v>
      </c>
      <c r="I53" s="8" t="s">
        <v>361</v>
      </c>
      <c r="J53" s="8" t="s">
        <v>362</v>
      </c>
      <c r="K53" s="8" t="s">
        <v>233</v>
      </c>
      <c r="L53" s="8">
        <v>4987</v>
      </c>
      <c r="M53" s="8">
        <v>88095</v>
      </c>
      <c r="N53" s="8" t="s">
        <v>363</v>
      </c>
      <c r="O53" s="8">
        <v>18.14</v>
      </c>
      <c r="P53" s="99">
        <v>45</v>
      </c>
      <c r="Q53" s="99"/>
      <c r="R53" s="8" t="s">
        <v>364</v>
      </c>
    </row>
    <row r="54" spans="1:18" ht="46.8" x14ac:dyDescent="0.3">
      <c r="A54" s="3">
        <v>21</v>
      </c>
      <c r="B54" s="43" t="s">
        <v>365</v>
      </c>
      <c r="C54" s="44" t="s">
        <v>366</v>
      </c>
      <c r="D54" s="7" t="s">
        <v>399</v>
      </c>
      <c r="E54" s="3" t="s">
        <v>21</v>
      </c>
      <c r="F54" s="13" t="s">
        <v>58</v>
      </c>
      <c r="G54" s="13" t="s">
        <v>113</v>
      </c>
      <c r="H54" s="7" t="s">
        <v>400</v>
      </c>
      <c r="I54" s="8"/>
      <c r="J54" s="8"/>
      <c r="K54" s="8"/>
      <c r="L54" s="8">
        <v>8592</v>
      </c>
      <c r="M54" s="8">
        <v>203186</v>
      </c>
      <c r="N54" s="8" t="s">
        <v>367</v>
      </c>
      <c r="O54" s="8">
        <v>19</v>
      </c>
      <c r="P54" s="99">
        <v>62</v>
      </c>
      <c r="Q54" s="99"/>
      <c r="R54" s="8">
        <v>62</v>
      </c>
    </row>
    <row r="55" spans="1:18" ht="62.4" x14ac:dyDescent="0.3">
      <c r="A55" s="3">
        <v>22</v>
      </c>
      <c r="B55" s="43" t="s">
        <v>375</v>
      </c>
      <c r="C55" s="44" t="s">
        <v>381</v>
      </c>
      <c r="D55" s="7" t="s">
        <v>399</v>
      </c>
      <c r="E55" s="3" t="s">
        <v>41</v>
      </c>
      <c r="F55" s="13" t="s">
        <v>376</v>
      </c>
      <c r="G55" s="13" t="s">
        <v>23</v>
      </c>
      <c r="H55" s="7">
        <v>920238427</v>
      </c>
      <c r="I55" s="8" t="s">
        <v>377</v>
      </c>
      <c r="J55" s="8" t="s">
        <v>378</v>
      </c>
      <c r="K55" s="8"/>
      <c r="L55" s="8">
        <v>11454</v>
      </c>
      <c r="M55" s="8">
        <v>135054</v>
      </c>
      <c r="N55" s="8" t="s">
        <v>379</v>
      </c>
      <c r="O55" s="8">
        <v>14.8</v>
      </c>
      <c r="P55" s="99">
        <v>44</v>
      </c>
      <c r="Q55" s="99"/>
      <c r="R55" s="8" t="s">
        <v>380</v>
      </c>
    </row>
    <row r="56" spans="1:18" ht="46.8" x14ac:dyDescent="0.3">
      <c r="A56" s="3">
        <v>23</v>
      </c>
      <c r="B56" s="43" t="s">
        <v>368</v>
      </c>
      <c r="C56" s="44" t="s">
        <v>374</v>
      </c>
      <c r="D56" s="7" t="s">
        <v>399</v>
      </c>
      <c r="E56" s="3" t="s">
        <v>41</v>
      </c>
      <c r="F56" s="13" t="s">
        <v>42</v>
      </c>
      <c r="G56" s="13" t="s">
        <v>369</v>
      </c>
      <c r="H56" s="7">
        <v>936843175</v>
      </c>
      <c r="I56" s="8" t="s">
        <v>370</v>
      </c>
      <c r="J56" s="8" t="s">
        <v>371</v>
      </c>
      <c r="K56" s="8" t="s">
        <v>325</v>
      </c>
      <c r="L56" s="8">
        <v>6398</v>
      </c>
      <c r="M56" s="8">
        <v>161700</v>
      </c>
      <c r="N56" s="8" t="s">
        <v>372</v>
      </c>
      <c r="O56" s="8">
        <v>5.2</v>
      </c>
      <c r="P56" s="99">
        <v>27</v>
      </c>
      <c r="Q56" s="99"/>
      <c r="R56" s="8" t="s">
        <v>373</v>
      </c>
    </row>
    <row r="57" spans="1:18" ht="46.8" x14ac:dyDescent="0.3">
      <c r="A57" s="3">
        <v>24</v>
      </c>
      <c r="B57" s="43" t="s">
        <v>382</v>
      </c>
      <c r="C57" s="44" t="s">
        <v>383</v>
      </c>
      <c r="D57" s="7" t="s">
        <v>399</v>
      </c>
      <c r="E57" s="3" t="s">
        <v>41</v>
      </c>
      <c r="F57" s="13" t="s">
        <v>58</v>
      </c>
      <c r="G57" s="13" t="s">
        <v>43</v>
      </c>
      <c r="H57" s="7">
        <v>961116255</v>
      </c>
      <c r="I57" s="8"/>
      <c r="J57" s="8" t="s">
        <v>384</v>
      </c>
      <c r="K57" s="8"/>
      <c r="L57" s="8">
        <v>10800</v>
      </c>
      <c r="M57" s="8">
        <v>131432</v>
      </c>
      <c r="N57" s="8" t="s">
        <v>385</v>
      </c>
      <c r="O57" s="8">
        <v>0.16</v>
      </c>
      <c r="P57" s="99">
        <v>68</v>
      </c>
      <c r="Q57" s="99"/>
      <c r="R57" s="8" t="s">
        <v>386</v>
      </c>
    </row>
    <row r="58" spans="1:18" ht="78" x14ac:dyDescent="0.3">
      <c r="A58" s="3">
        <v>25</v>
      </c>
      <c r="B58" s="43" t="s">
        <v>387</v>
      </c>
      <c r="C58" s="44" t="s">
        <v>393</v>
      </c>
      <c r="D58" s="7" t="s">
        <v>399</v>
      </c>
      <c r="E58" s="3" t="s">
        <v>41</v>
      </c>
      <c r="F58" s="13" t="s">
        <v>58</v>
      </c>
      <c r="G58" s="13" t="s">
        <v>388</v>
      </c>
      <c r="H58" s="7">
        <v>913453643</v>
      </c>
      <c r="I58" s="8" t="s">
        <v>389</v>
      </c>
      <c r="J58" s="8" t="s">
        <v>390</v>
      </c>
      <c r="K58" s="8"/>
      <c r="L58" s="71">
        <v>8536</v>
      </c>
      <c r="M58" s="71">
        <v>95218</v>
      </c>
      <c r="N58" s="8" t="s">
        <v>391</v>
      </c>
      <c r="O58" s="8">
        <v>17.87</v>
      </c>
      <c r="P58" s="99">
        <v>37</v>
      </c>
      <c r="Q58" s="99"/>
      <c r="R58" s="8" t="s">
        <v>392</v>
      </c>
    </row>
    <row r="59" spans="1:18" x14ac:dyDescent="0.3">
      <c r="A59" s="3">
        <v>26</v>
      </c>
      <c r="B59" s="4"/>
      <c r="C59" s="32"/>
      <c r="D59" s="3"/>
      <c r="E59" s="5"/>
      <c r="F59" s="11"/>
      <c r="G59" s="11"/>
      <c r="H59" s="14"/>
      <c r="I59" s="36"/>
      <c r="J59" s="36"/>
      <c r="K59" s="36"/>
      <c r="L59" s="36"/>
      <c r="M59" s="36"/>
      <c r="N59" s="36"/>
      <c r="O59" s="36"/>
      <c r="P59" s="104">
        <f>SUM(P4:P58)</f>
        <v>4480</v>
      </c>
      <c r="Q59" s="104"/>
      <c r="R59" s="36"/>
    </row>
  </sheetData>
  <mergeCells count="88">
    <mergeCell ref="P21:P22"/>
    <mergeCell ref="P24:P25"/>
    <mergeCell ref="P26:P27"/>
    <mergeCell ref="P29:P30"/>
    <mergeCell ref="P31:P32"/>
    <mergeCell ref="P4:P6"/>
    <mergeCell ref="P7:P9"/>
    <mergeCell ref="P10:P12"/>
    <mergeCell ref="P15:P16"/>
    <mergeCell ref="P19:P20"/>
    <mergeCell ref="C7:C9"/>
    <mergeCell ref="C4:C6"/>
    <mergeCell ref="D4:D6"/>
    <mergeCell ref="D7:D9"/>
    <mergeCell ref="L7:L9"/>
    <mergeCell ref="R10:R11"/>
    <mergeCell ref="R7:R8"/>
    <mergeCell ref="D26:D27"/>
    <mergeCell ref="C26:C27"/>
    <mergeCell ref="L26:L27"/>
    <mergeCell ref="M26:M27"/>
    <mergeCell ref="N26:N27"/>
    <mergeCell ref="O26:O27"/>
    <mergeCell ref="K26:K27"/>
    <mergeCell ref="R26:R27"/>
    <mergeCell ref="M7:M9"/>
    <mergeCell ref="N7:N9"/>
    <mergeCell ref="O7:O9"/>
    <mergeCell ref="C10:C12"/>
    <mergeCell ref="D10:D12"/>
    <mergeCell ref="L10:L12"/>
    <mergeCell ref="N15:N16"/>
    <mergeCell ref="O15:O16"/>
    <mergeCell ref="A15:A16"/>
    <mergeCell ref="A4:A6"/>
    <mergeCell ref="D15:D16"/>
    <mergeCell ref="L15:L16"/>
    <mergeCell ref="M15:M16"/>
    <mergeCell ref="A7:A9"/>
    <mergeCell ref="M10:M12"/>
    <mergeCell ref="N10:N12"/>
    <mergeCell ref="O10:O12"/>
    <mergeCell ref="K4:K6"/>
    <mergeCell ref="L4:L6"/>
    <mergeCell ref="M4:M6"/>
    <mergeCell ref="N4:N6"/>
    <mergeCell ref="O4:O6"/>
    <mergeCell ref="L19:L20"/>
    <mergeCell ref="M19:M20"/>
    <mergeCell ref="N19:N20"/>
    <mergeCell ref="O19:O20"/>
    <mergeCell ref="K19:K20"/>
    <mergeCell ref="A10:A12"/>
    <mergeCell ref="A19:A20"/>
    <mergeCell ref="A26:A27"/>
    <mergeCell ref="C21:C22"/>
    <mergeCell ref="D21:D22"/>
    <mergeCell ref="A21:A22"/>
    <mergeCell ref="C19:C20"/>
    <mergeCell ref="D19:D20"/>
    <mergeCell ref="C15:C16"/>
    <mergeCell ref="A24:A25"/>
    <mergeCell ref="C24:C25"/>
    <mergeCell ref="D24:D25"/>
    <mergeCell ref="L24:L25"/>
    <mergeCell ref="M24:M25"/>
    <mergeCell ref="K21:K22"/>
    <mergeCell ref="L21:L22"/>
    <mergeCell ref="M21:M22"/>
    <mergeCell ref="N21:N22"/>
    <mergeCell ref="O21:O22"/>
    <mergeCell ref="N24:N25"/>
    <mergeCell ref="O24:O25"/>
    <mergeCell ref="C29:C30"/>
    <mergeCell ref="D29:D30"/>
    <mergeCell ref="K29:K30"/>
    <mergeCell ref="L29:L30"/>
    <mergeCell ref="M29:M30"/>
    <mergeCell ref="N29:N30"/>
    <mergeCell ref="O29:O30"/>
    <mergeCell ref="O31:O32"/>
    <mergeCell ref="A31:A32"/>
    <mergeCell ref="A29:A30"/>
    <mergeCell ref="C31:C32"/>
    <mergeCell ref="D31:D32"/>
    <mergeCell ref="L31:L32"/>
    <mergeCell ref="M31:M32"/>
    <mergeCell ref="N31:N32"/>
  </mergeCells>
  <hyperlinks>
    <hyperlink ref="I6" r:id="rId1" xr:uid="{DC2D79B2-25A5-41DC-AED4-8D82C2D83972}"/>
    <hyperlink ref="I5" r:id="rId2" xr:uid="{36DF753E-64DE-4417-BDE1-18281699FEA3}"/>
    <hyperlink ref="I4" r:id="rId3" xr:uid="{73387189-6BC2-4294-A16E-ECCAA1E402C7}"/>
    <hyperlink ref="I7" r:id="rId4" xr:uid="{F926C70C-2655-4078-B26A-C0162AABFD39}"/>
    <hyperlink ref="I10" r:id="rId5" xr:uid="{C8E4A967-9D81-4B6B-8173-B1385FEFBCD6}"/>
    <hyperlink ref="I12" r:id="rId6" xr:uid="{61D6B808-205D-4E46-BED6-430D7200CE33}"/>
    <hyperlink ref="I11" r:id="rId7" xr:uid="{ACFCEE1B-DEE4-44CE-A15C-A424C1D99398}"/>
    <hyperlink ref="J6" r:id="rId8" xr:uid="{64BCD6BA-7149-4BFC-88B1-1C727ABDCF2E}"/>
    <hyperlink ref="J5" r:id="rId9" xr:uid="{26B3B38D-CDB6-4518-9597-B7A9A1B7759F}"/>
    <hyperlink ref="I26" r:id="rId10" xr:uid="{B7E81A12-3CBE-460F-B658-ADE5FD629387}"/>
    <hyperlink ref="I27" r:id="rId11" xr:uid="{79598E1A-DE09-484F-A4FF-C312BFAF736F}"/>
    <hyperlink ref="K26" r:id="rId12" xr:uid="{6607576F-B257-4013-9761-F0480D9EDE22}"/>
    <hyperlink ref="I52" r:id="rId13" xr:uid="{BF7C10A8-8ACA-4A72-83AD-5B983E0C26A2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Pirof. Hojii Gag. bara 2018(1-2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2026-03-28T09:31:08Z</dcterms:modified>
</cp:coreProperties>
</file>